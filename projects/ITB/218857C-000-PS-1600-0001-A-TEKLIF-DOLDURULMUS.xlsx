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VER PAGE" sheetId="1" state="visible" r:id="rId3"/>
    <sheet name="PS" sheetId="2" state="visible" r:id="rId4"/>
  </sheets>
  <definedNames>
    <definedName function="false" hidden="false" localSheetId="0" name="_xlnm.Print_Area" vbProcedure="false">'COVER PAGE'!$A$1:$N$120</definedName>
    <definedName function="false" hidden="true" localSheetId="1" name="_xlnm._FilterDatabase" vbProcedure="false">PS!$A$12:$W$817</definedName>
    <definedName function="false" hidden="true" name="AccessDatabase" vbProcedure="false">"D:\98524\Planning\Overall.mdb"</definedName>
    <definedName function="false" hidden="true" name="Access_Button" vbProcedure="false">"Overall_Civil_List"</definedName>
    <definedName function="false" hidden="false" name="activity" vbProcedure="false">#REF!</definedName>
    <definedName function="false" hidden="false" name="AF" vbProcedure="false">#REF!</definedName>
    <definedName function="false" hidden="false" name="AliasSpec" vbProcedure="false">#REF!</definedName>
    <definedName function="false" hidden="false" name="ApproveBy_1" vbProcedure="false">#REF!</definedName>
    <definedName function="false" hidden="false" name="ApproveBy_2" vbProcedure="false">#REF!</definedName>
    <definedName function="false" hidden="false" name="ApproveBy_3" vbProcedure="false">#REF!</definedName>
    <definedName function="false" hidden="false" name="ApproveBy_4" vbProcedure="false">#REF!</definedName>
    <definedName function="false" hidden="false" name="ApproveBy_5" vbProcedure="false">#REF!</definedName>
    <definedName function="false" hidden="false" name="ApproveBy_6" vbProcedure="false">#REF!</definedName>
    <definedName function="false" hidden="false" name="ApproveBy_7" vbProcedure="false">#REF!</definedName>
    <definedName function="false" hidden="false" name="ApproveBy_8" vbProcedure="false">#REF!</definedName>
    <definedName function="false" hidden="false" name="ApproveBy_9" vbProcedure="false">#REF!</definedName>
    <definedName function="false" hidden="true" name="AsSoldExcRev" vbProcedure="false">{#N/A,#N/A,FALSE,"Sum6 (1)"}</definedName>
    <definedName function="false" hidden="true" name="bbb" vbProcedure="false">{#N/A,#N/A,FALSE,"JACKETS (1100 t) (1)"}</definedName>
    <definedName function="false" hidden="true" name="bob" vbProcedure="false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function="false" hidden="true" name="bob.bob" vbProcedure="false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function="false" hidden="false" name="B_OK_Click" vbProcedure="false">#REF!</definedName>
    <definedName function="false" hidden="false" name="cable_sort" vbProcedure="false">#REF!</definedName>
    <definedName function="false" hidden="true" name="CCC" vbProcedure="false">{#N/A,#N/A,FALSE,"Sum6 (1)"}</definedName>
    <definedName function="false" hidden="false" name="CheckBy_1" vbProcedure="false">#REF!</definedName>
    <definedName function="false" hidden="false" name="CheckBy_2" vbProcedure="false">#REF!</definedName>
    <definedName function="false" hidden="false" name="CheckBy_3" vbProcedure="false">#REF!</definedName>
    <definedName function="false" hidden="false" name="CheckBy_4" vbProcedure="false">#REF!</definedName>
    <definedName function="false" hidden="false" name="CheckBy_5" vbProcedure="false">#REF!</definedName>
    <definedName function="false" hidden="false" name="CheckBy_6" vbProcedure="false">#REF!</definedName>
    <definedName function="false" hidden="false" name="CheckBy_7" vbProcedure="false">#REF!</definedName>
    <definedName function="false" hidden="false" name="CheckBy_8" vbProcedure="false">#REF!</definedName>
    <definedName function="false" hidden="false" name="CheckBy_9" vbProcedure="false">#REF!</definedName>
    <definedName function="false" hidden="false" name="CLASS_B" vbProcedure="false">#REF!</definedName>
    <definedName function="false" hidden="false" name="CLASS_E" vbProcedure="false">#REF!</definedName>
    <definedName function="false" hidden="false" name="CLASS_F" vbProcedure="false">#REF!</definedName>
    <definedName function="false" hidden="false" name="CLASS_J" vbProcedure="false">#REF!</definedName>
    <definedName function="false" hidden="false" name="colBUS" vbProcedure="false">#REF!</definedName>
    <definedName function="false" hidden="false" name="colContkVAr" vbProcedure="false">#REF!</definedName>
    <definedName function="false" hidden="false" name="colContkW" vbProcedure="false">#REF!</definedName>
    <definedName function="false" hidden="false" name="colFeedTransfRatingkVA" vbProcedure="false">#REF!</definedName>
    <definedName function="false" hidden="false" name="colIntKVAr" vbProcedure="false">#REF!</definedName>
    <definedName function="false" hidden="false" name="colIntkW" vbProcedure="false">#REF!</definedName>
    <definedName function="false" hidden="false" name="colMarginSwitchBoad" vbProcedure="false">#REF!</definedName>
    <definedName function="false" hidden="false" name="colMarginTransformer" vbProcedure="false">#REF!</definedName>
    <definedName function="false" hidden="false" name="colMaximumTPRLkVA" vbProcedure="false">#REF!</definedName>
    <definedName function="false" hidden="false" name="colPDB" vbProcedure="false">#REF!</definedName>
    <definedName function="false" hidden="false" name="colPeakTPPLkVA" vbProcedure="false">#REF!</definedName>
    <definedName function="false" hidden="false" name="colPlantPeakCurrentAmp" vbProcedure="false">#REF!</definedName>
    <definedName function="false" hidden="false" name="colPlantPeakLoadkVA" vbProcedure="false">#REF!</definedName>
    <definedName function="false" hidden="false" name="colPlantRunLoadkVA" vbProcedure="false">#REF!</definedName>
    <definedName function="false" hidden="false" name="colRemarks" vbProcedure="false">#REF!</definedName>
    <definedName function="false" hidden="false" name="colRigLoadskVA" vbProcedure="false">#REF!</definedName>
    <definedName function="false" hidden="false" name="colStandbyKVAr" vbProcedure="false">#REF!</definedName>
    <definedName function="false" hidden="false" name="colStandBykW" vbProcedure="false">#REF!</definedName>
    <definedName function="false" hidden="false" name="colSwitchBoardRating" vbProcedure="false">#REF!</definedName>
    <definedName function="false" hidden="false" name="colTPPLInclusingOthFackVA" vbProcedure="false">#REF!</definedName>
    <definedName function="false" hidden="false" name="colTPPLLossFactorkVA" vbProcedure="false">#REF!</definedName>
    <definedName function="false" hidden="false" name="colTPPLMarginSPPhasekVA" vbProcedure="false">#REF!</definedName>
    <definedName function="false" hidden="false" name="colTransformerImp" vbProcedure="false">#REF!</definedName>
    <definedName function="false" hidden="false" name="col_duty" vbProcedure="false">#REF!</definedName>
    <definedName function="false" hidden="false" name="company" vbProcedure="false">#REF!</definedName>
    <definedName function="false" hidden="false" name="COUNTER" vbProcedure="false">#REF!</definedName>
    <definedName function="false" hidden="false" name="COVER" vbProcedure="false">#REF!</definedName>
    <definedName function="false" hidden="false" name="CreateBy_1" vbProcedure="false">#REF!</definedName>
    <definedName function="false" hidden="false" name="CreateBy_1_3" vbProcedure="false">#REF!</definedName>
    <definedName function="false" hidden="false" name="CreateBy_1_4" vbProcedure="false">#REF!</definedName>
    <definedName function="false" hidden="false" name="CreateBy_1_7" vbProcedure="false">#REF!</definedName>
    <definedName function="false" hidden="false" name="CreateBy_2" vbProcedure="false">#REF!</definedName>
    <definedName function="false" hidden="false" name="CreateBy_3" vbProcedure="false">#REF!</definedName>
    <definedName function="false" hidden="false" name="CreateBy_4" vbProcedure="false">#REF!</definedName>
    <definedName function="false" hidden="false" name="CreateBy_5" vbProcedure="false">#REF!</definedName>
    <definedName function="false" hidden="false" name="CreateBy_6" vbProcedure="false">#REF!</definedName>
    <definedName function="false" hidden="false" name="CreateBy_7" vbProcedure="false">#REF!</definedName>
    <definedName function="false" hidden="false" name="CreateBy_8" vbProcedure="false">#REF!</definedName>
    <definedName function="false" hidden="false" name="CreateBy_9" vbProcedure="false">#REF!</definedName>
    <definedName function="false" hidden="false" name="CreateRangeName" vbProcedure="false">#REF!</definedName>
    <definedName function="false" hidden="false" name="CURRENT_UNIT" vbProcedure="false">#REF!</definedName>
    <definedName function="false" hidden="false" name="data_file" vbProcedure="false">#REF!</definedName>
    <definedName function="false" hidden="true" name="dd" vbProcedure="false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function="false" hidden="true" name="DELTA" vbProcedure="false">{#N/A,#N/A,FALSE,"Sum6 (1)"}</definedName>
    <definedName function="false" hidden="false" name="DOCNUM" vbProcedure="false">#REF!</definedName>
    <definedName function="false" hidden="false" name="DropDown18_Change" vbProcedure="false">#REF!</definedName>
    <definedName function="false" hidden="false" name="DRUMS" vbProcedure="false">#REF!</definedName>
    <definedName function="false" hidden="false" name="DRUMSX" vbProcedure="false">#REF!</definedName>
    <definedName function="false" hidden="false" name="DRYERS" vbProcedure="false">#REF!</definedName>
    <definedName function="false" hidden="false" name="DRYERSX" vbProcedure="false">#REF!</definedName>
    <definedName function="false" hidden="true" name="DWPRICE" vbProcedure="false">#REF!</definedName>
    <definedName function="false" hidden="false" name="d_Description" vbProcedure="false">#REF!</definedName>
    <definedName function="false" hidden="false" name="d_ItemTag" vbProcedure="false">#REF!</definedName>
    <definedName function="false" hidden="false" name="d_Name" vbProcedure="false">#REF!</definedName>
    <definedName function="false" hidden="false" name="d_TpDisclaimer" vbProcedure="false">#REF!</definedName>
    <definedName function="false" hidden="false" name="d_TpDocumentCode" vbProcedure="false">#REF!</definedName>
    <definedName function="false" hidden="false" name="d_TpDocumentNumber" vbProcedure="false">#REF!</definedName>
    <definedName function="false" hidden="false" name="d_TpDocumentSerial" vbProcedure="false">#REF!</definedName>
    <definedName function="false" hidden="false" name="d_TpDocumentType" vbProcedure="false">#REF!</definedName>
    <definedName function="false" hidden="false" name="d_TpEquipmenttUnit" vbProcedure="false">#REF!</definedName>
    <definedName function="false" hidden="false" name="EMERGENCY" vbProcedure="false">#REF!</definedName>
    <definedName function="false" hidden="false" name="Equipment_List" vbProcedure="false">#REF!</definedName>
    <definedName function="false" hidden="true" name="fz" vbProcedure="false">{#N/A,#N/A,FALSE,"PageGarde";#N/A,#N/A,FALSE,"Notes";#N/A,#N/A,FALSE,"LCE"}</definedName>
    <definedName function="false" hidden="false" name="grade" vbProcedure="false">#REF!</definedName>
    <definedName function="false" hidden="false" name="HI" vbProcedure="false">"Oval 139"</definedName>
    <definedName function="false" hidden="true" name="HTML_CodePage" vbProcedure="false">1252</definedName>
    <definedName function="false" hidden="true" name="HTML_Control" vbProcedure="false">{"'Infrastr.'!$A$1:$S$27"}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"Infrastr."</definedName>
    <definedName function="false" hidden="true" name="HTML_LastUpdate" vbProcedure="false">"02/03/98"</definedName>
    <definedName function="false" hidden="true" name="HTML_LineAfter" vbProcedure="false">FALSE()</definedName>
    <definedName function="false" hidden="true" name="HTML_LineBefore" vbProcedure="false">FALSE()</definedName>
    <definedName function="false" hidden="true" name="HTML_Name" vbProcedure="false">"Saipem"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"C:\Documenti\Databook\Databook Html\Tabella105.htm"</definedName>
    <definedName function="false" hidden="true" name="HTML_Title" vbProcedure="false">"Income Statement by Destination"</definedName>
    <definedName function="false" hidden="true" name="huy" vbProcedure="false">{"'Sheet1'!$L$16"}</definedName>
    <definedName function="false" hidden="true" name="II" vbProcedure="false">{#N/A,#N/A,FALSE,"JACKETS (1100 t) (1)"}</definedName>
    <definedName function="false" hidden="true" name="jj" vbProcedure="false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function="false" hidden="true" name="kk" vbProcedure="false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function="false" hidden="false" name="LastRevision" vbProcedure="false">#REF!</definedName>
    <definedName function="false" hidden="true" name="limcount" vbProcedure="false">1</definedName>
    <definedName function="false" hidden="false" name="ListBox13_Change" vbProcedure="false">#REF!</definedName>
    <definedName function="false" hidden="false" name="location" vbProcedure="false">#REF!</definedName>
    <definedName function="false" hidden="false" name="MENUCALL_Unit" vbProcedure="false">#REF!</definedName>
    <definedName function="false" hidden="true" name="mm" vbProcedure="false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function="false" hidden="true" name="momo" vbProcedure="false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function="false" hidden="false" name="MP_DOCSUB1" vbProcedure="false">#REF!</definedName>
    <definedName function="false" hidden="true" name="n" vbProcedure="false">#REF!</definedName>
    <definedName function="false" hidden="false" name="NAME" vbProcedure="false">#REF!</definedName>
    <definedName function="false" hidden="true" name="nn" vbProcedure="false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function="false" hidden="false" name="OL" vbProcedure="false">#REF!</definedName>
    <definedName function="false" hidden="false" name="OptionButton20_Click" vbProcedure="false">#REF!</definedName>
    <definedName function="false" hidden="false" name="OptionButton21_Click" vbProcedure="false">#REF!</definedName>
    <definedName function="false" hidden="false" name="OptionButton23_Click" vbProcedure="false">#REF!</definedName>
    <definedName function="false" hidden="false" name="OptionButton24_Click" vbProcedure="false">#REF!</definedName>
    <definedName function="false" hidden="false" name="origin_personnel" vbProcedure="false">#REF!</definedName>
    <definedName function="false" hidden="true" name="pippo" vbProcedure="false">{"'Infrastr.'!$A$1:$S$27"}</definedName>
    <definedName function="false" hidden="false" name="PRINTMENU" vbProcedure="false">#REF!</definedName>
    <definedName function="false" hidden="false" name="PRINTMENU1" vbProcedure="false">#REF!</definedName>
    <definedName function="false" hidden="false" name="PRINTMENU2" vbProcedure="false">#REF!</definedName>
    <definedName function="false" hidden="false" name="PRINTMENU3" vbProcedure="false">#REF!</definedName>
    <definedName function="false" hidden="false" name="PRISHT" vbProcedure="false">#REF!</definedName>
    <definedName function="false" hidden="false" name="PROCESS" vbProcedure="false">#REF!</definedName>
    <definedName function="false" hidden="false" name="Project.Name" vbProcedure="false">#REF!</definedName>
    <definedName function="false" hidden="true" name="Provisions" vbProcedure="false">{#N/A,#N/A,FALSE,"JACKETS (1100 t) (1)"}</definedName>
    <definedName function="false" hidden="false" name="QoffELE1" vbProcedure="false">#REF!</definedName>
    <definedName function="false" hidden="false" name="QoffELE2" vbProcedure="false">#REF!</definedName>
    <definedName function="false" hidden="false" name="QoffELE3" vbProcedure="false">#REF!</definedName>
    <definedName function="false" hidden="false" name="QoffELE4" vbProcedure="false">#REF!</definedName>
    <definedName function="false" hidden="false" name="QoffELE5" vbProcedure="false">#REF!</definedName>
    <definedName function="false" hidden="false" name="QoffELE6" vbProcedure="false">#REF!</definedName>
    <definedName function="false" hidden="false" name="QoffGEN15" vbProcedure="false">#REF!</definedName>
    <definedName function="false" hidden="false" name="QoffGEN2" vbProcedure="false">#REF!</definedName>
    <definedName function="false" hidden="false" name="QoffGEN3" vbProcedure="false">#REF!</definedName>
    <definedName function="false" hidden="false" name="QoffGEN7" vbProcedure="false">#REF!</definedName>
    <definedName function="false" hidden="false" name="QoffGEN8" vbProcedure="false">#REF!</definedName>
    <definedName function="false" hidden="false" name="QoffICST1" vbProcedure="false">#REF!</definedName>
    <definedName function="false" hidden="false" name="QoffICST10" vbProcedure="false">#REF!</definedName>
    <definedName function="false" hidden="false" name="QoffICST11" vbProcedure="false">#REF!</definedName>
    <definedName function="false" hidden="false" name="QoffICST5" vbProcedure="false">#REF!</definedName>
    <definedName function="false" hidden="false" name="QoffKPI13" vbProcedure="false">#REF!</definedName>
    <definedName function="false" hidden="false" name="QoffMHR1" vbProcedure="false">#REF!</definedName>
    <definedName function="false" hidden="false" name="QoffMHR2" vbProcedure="false">#REF!</definedName>
    <definedName function="false" hidden="false" name="QoffMHR4" vbProcedure="false">#REF!</definedName>
    <definedName function="false" hidden="false" name="QoffMHR5" vbProcedure="false">#REF!</definedName>
    <definedName function="false" hidden="false" name="QoffPIP1" vbProcedure="false">#REF!</definedName>
    <definedName function="false" hidden="false" name="QoffPIP10" vbProcedure="false">#REF!</definedName>
    <definedName function="false" hidden="false" name="QoffPIP2" vbProcedure="false">#REF!</definedName>
    <definedName function="false" hidden="false" name="QoffPIP3" vbProcedure="false">#REF!</definedName>
    <definedName function="false" hidden="false" name="QoffPIP4" vbProcedure="false">#REF!</definedName>
    <definedName function="false" hidden="false" name="QoffPIP5" vbProcedure="false">#REF!</definedName>
    <definedName function="false" hidden="false" name="QoffPIP6" vbProcedure="false">#REF!</definedName>
    <definedName function="false" hidden="false" name="QoffPIP7" vbProcedure="false">#REF!</definedName>
    <definedName function="false" hidden="false" name="QoffPIP8" vbProcedure="false">#REF!</definedName>
    <definedName function="false" hidden="false" name="QoffPIP9" vbProcedure="false">#REF!</definedName>
    <definedName function="false" hidden="false" name="QoffSTR1" vbProcedure="false">#REF!</definedName>
    <definedName function="false" hidden="false" name="QoffSTR2" vbProcedure="false">#REF!</definedName>
    <definedName function="false" hidden="false" name="QoffSTR3" vbProcedure="false">#REF!</definedName>
    <definedName function="false" hidden="false" name="QoffSTR5" vbProcedure="false">#REF!</definedName>
    <definedName function="false" hidden="false" name="QoffSTR6" vbProcedure="false">#REF!</definedName>
    <definedName function="false" hidden="false" name="QoffSTR7" vbProcedure="false">#REF!</definedName>
    <definedName function="false" hidden="true" name="qqqqqqq" vbProcedure="false">{#N/A,#N/A,FALSE,"Sum6 (1)"}</definedName>
    <definedName function="false" hidden="false" name="RevisionColumnA" vbProcedure="false">#REF!</definedName>
    <definedName function="false" hidden="false" name="RevisionColumnB" vbProcedure="false">#REF!</definedName>
    <definedName function="false" hidden="false" name="RevisionDate_1" vbProcedure="false">#REF!</definedName>
    <definedName function="false" hidden="false" name="RevisionDate_1_3" vbProcedure="false">#REF!</definedName>
    <definedName function="false" hidden="false" name="RevisionDate_1_4" vbProcedure="false">#REF!</definedName>
    <definedName function="false" hidden="false" name="RevisionDate_2" vbProcedure="false">#REF!</definedName>
    <definedName function="false" hidden="false" name="RevisionDate_3" vbProcedure="false">#REF!</definedName>
    <definedName function="false" hidden="false" name="RevisionDate_4" vbProcedure="false">#REF!</definedName>
    <definedName function="false" hidden="false" name="RevisionDate_5" vbProcedure="false">#REF!</definedName>
    <definedName function="false" hidden="false" name="RevisionDate_6" vbProcedure="false">#REF!</definedName>
    <definedName function="false" hidden="false" name="RevisionDate_7" vbProcedure="false">#REF!</definedName>
    <definedName function="false" hidden="false" name="RevisionDate_8" vbProcedure="false">#REF!</definedName>
    <definedName function="false" hidden="false" name="RevisionDate_9" vbProcedure="false">#REF!</definedName>
    <definedName function="false" hidden="false" name="RevisionDescription_1" vbProcedure="false">#REF!</definedName>
    <definedName function="false" hidden="false" name="RevisionDescription_2" vbProcedure="false">#REF!</definedName>
    <definedName function="false" hidden="false" name="RevisionDescription_3" vbProcedure="false">#REF!</definedName>
    <definedName function="false" hidden="false" name="RevisionDescription_4" vbProcedure="false">#REF!</definedName>
    <definedName function="false" hidden="false" name="RevisionDescription_5" vbProcedure="false">#REF!</definedName>
    <definedName function="false" hidden="false" name="RevisionDescription_6" vbProcedure="false">#REF!</definedName>
    <definedName function="false" hidden="false" name="RevisionDescription_7" vbProcedure="false">#REF!</definedName>
    <definedName function="false" hidden="false" name="RevisionDescription_8" vbProcedure="false">#REF!</definedName>
    <definedName function="false" hidden="false" name="RevisionDescription_9" vbProcedure="false">#REF!</definedName>
    <definedName function="false" hidden="false" name="RevisionNumber_1" vbProcedure="false">#REF!</definedName>
    <definedName function="false" hidden="false" name="RevisionNumber_1_3" vbProcedure="false">#REF!</definedName>
    <definedName function="false" hidden="false" name="RevisionNumber_1_4" vbProcedure="false">#REF!</definedName>
    <definedName function="false" hidden="false" name="RevisionNumber_1_7" vbProcedure="false">#REF!</definedName>
    <definedName function="false" hidden="false" name="RevisionNumber_2" vbProcedure="false">#REF!</definedName>
    <definedName function="false" hidden="false" name="RevisionNumber_3" vbProcedure="false">#REF!</definedName>
    <definedName function="false" hidden="false" name="RevisionNumber_4" vbProcedure="false">#REF!</definedName>
    <definedName function="false" hidden="false" name="RevisionNumber_5" vbProcedure="false">#REF!</definedName>
    <definedName function="false" hidden="false" name="RevisionNumber_6" vbProcedure="false">#REF!</definedName>
    <definedName function="false" hidden="false" name="RevisionNumber_7" vbProcedure="false">#REF!</definedName>
    <definedName function="false" hidden="false" name="RevisionNumber_8" vbProcedure="false">#REF!</definedName>
    <definedName function="false" hidden="false" name="RevisionNumber_9" vbProcedure="false">#REF!</definedName>
    <definedName function="false" hidden="false" name="RXRS" vbProcedure="false">#REF!</definedName>
    <definedName function="false" hidden="false" name="RXRSX" vbProcedure="false">#REF!</definedName>
    <definedName function="false" hidden="false" name="Sheet_02" vbProcedure="false">#REF!</definedName>
    <definedName function="false" hidden="false" name="Sheet_03" vbProcedure="false">#REF!</definedName>
    <definedName function="false" hidden="false" name="Sheet_04" vbProcedure="false">#REF!</definedName>
    <definedName function="false" hidden="false" name="Sheet_05" vbProcedure="false">#REF!</definedName>
    <definedName function="false" hidden="false" name="Sheet_06" vbProcedure="false">#REF!</definedName>
    <definedName function="false" hidden="false" name="SP_ID" vbProcedure="false">#REF!</definedName>
    <definedName function="false" hidden="false" name="SUMMARY" vbProcedure="false">#REF!</definedName>
    <definedName function="false" hidden="true" name="temp" vbProcedure="false">{#N/A,#N/A,TRUE,"Task Status";#N/A,#N/A,TRUE,"Document Status";#N/A,#N/A,TRUE,"Percent Complete";#N/A,#N/A,TRUE,"Manhour Sum"}</definedName>
    <definedName function="false" hidden="true" name="temp1" vbProcedure="false">{#N/A,#N/A,TRUE,"Task Status";#N/A,#N/A,TRUE,"Document Status";#N/A,#N/A,TRUE,"Percent Complete";#N/A,#N/A,TRUE,"Manhour Sum"}</definedName>
    <definedName function="false" hidden="false" name="Tp_DocClassCode" vbProcedure="false">#REF!</definedName>
    <definedName function="false" hidden="false" name="Tp_ProjectN°" vbProcedure="false">#REF!</definedName>
    <definedName function="false" hidden="true" name="trash" vbProcedure="false">{#N/A,#N/A,TRUE,"Sheet1";#N/A,#N/A,TRUE,"Sheet2";#N/A,#N/A,TRUE,"Sheet3"}</definedName>
    <definedName function="false" hidden="true" name="TRTTR" vbProcedure="false">{#N/A,#N/A,FALSE,"C_01 CASE 1";#N/A,#N/A,FALSE,"C_01 CASE 2"}</definedName>
    <definedName function="false" hidden="false" name="type_personnel" vbProcedure="false">#REF!</definedName>
    <definedName function="false" hidden="false" name="UNIT" vbProcedure="false">#REF!</definedName>
    <definedName function="false" hidden="false" name="UNITS" vbProcedure="false">#REF!</definedName>
    <definedName function="false" hidden="false" name="UTILITIES" vbProcedure="false">#REF!</definedName>
    <definedName function="false" hidden="true" name="UU" vbProcedure="false">{#N/A,#N/A,FALSE,"JACKETS (1100 t) (1)"}</definedName>
    <definedName function="false" hidden="false" name="VAL_SUMGRANDTOTAL" vbProcedure="false">#REF!</definedName>
    <definedName function="false" hidden="true" name="V_Test" vbProcedure="false">{"'Sheet1'!$L$16"}</definedName>
    <definedName function="false" hidden="true" name="wrn.Allowance._.Analysis." vbProcedure="false">{#N/A,#N/A,FALSE,"F. Tax Analysis";#N/A,#N/A,FALSE,"G. Bond Analysis";#N/A,#N/A,FALSE,"H. Insurance Analysis"}</definedName>
    <definedName function="false" hidden="true" name="wrn.cables." vbProcedure="false">{#N/A,#N/A,FALSE,"PAGEGARD-N&amp;B";#N/A,#N/A,FALSE,"SOMMAIRE";#N/A,#N/A,FALSE,"E1";#N/A,#N/A,FALSE,"E2";#N/A,#N/A,FALSE,"E4";#N/A,#N/A,FALSE,"E9";#N/A,#N/A,FALSE,"E10";#N/A,#N/A,FALSE,"E12";#N/A,#N/A,FALSE,"E13";#N/A,#N/A,FALSE,"E15";#N/A,#N/A,FALSE,"E16";#N/A,#N/A,FALSE,"E18";#N/A,#N/A,FALSE,"E19";#N/A,#N/A,FALSE,"E.total";#N/A,#N/A,FALSE,"transit"}</definedName>
    <definedName function="false" hidden="true" name="wrn.Citgo._.Status." vbProcedure="false">{#N/A,#N/A,TRUE,"Task Status";#N/A,#N/A,TRUE,"Document Status";#N/A,#N/A,TRUE,"Percent Complete";#N/A,#N/A,TRUE,"Manhour Sum"}</definedName>
    <definedName function="false" hidden="true" name="wrn.C_01." vbProcedure="false">{#N/A,#N/A,FALSE,"C_01 CASE 1";#N/A,#N/A,FALSE,"C_01 CASE 2"}</definedName>
    <definedName function="false" hidden="true" name="wrn.Detail." vbProcedure="false">{"Detail",#N/A,FALSE,"Detail"}</definedName>
    <definedName function="false" hidden="true" name="wrn.ENTIRE." vbProcedure="false">{#N/A,#N/A,FALSE,"Cover";#N/A,#N/A,FALSE,"Mech (Eng)";#N/A,#N/A,FALSE,"Mech2 (Eng)";#N/A,#N/A,FALSE,"Mech3 (Eng)";#N/A,#N/A,FALSE,"Mech4 (Eng)"}</definedName>
    <definedName function="false" hidden="true" name="wrn.Equip._.List._.Metric." vbProcedure="false">{#N/A,#N/A,FALSE,"Cover";#N/A,#N/A,FALSE,"Furnaces_SI";#N/A,#N/A,FALSE,"Exchangers_SI";#N/A,#N/A,FALSE,"Towers_SI";#N/A,#N/A,FALSE,"Drums_SI";#N/A,#N/A,FALSE,"Pumps_Compressors_SI"}</definedName>
    <definedName function="false" hidden="true" name="wrn.Executive._.Review._.Report." vbProcedure="false">{#N/A,#N/A,FALSE,"Executive Review Sheet";#N/A,#N/A,FALSE,"Summary of Estimate Components";#N/A,#N/A,FALSE,"Summary of Allowances"}</definedName>
    <definedName function="false" hidden="true" name="wrn.Indirects." vbProcedure="false">{"Budget",#N/A,TRUE,"Criteria";"Summary",#N/A,TRUE,"Summary";"Detail",#N/A,TRUE,"Detail";"Staff",#N/A,TRUE,"Staffing";"Equip",#N/A,TRUE,"Equipment"}</definedName>
    <definedName function="false" hidden="true" name="wrn.inst.list.5H" vbProcedure="false">{#N/A,#N/A,TRUE,"Sheet1";#N/A,#N/A,TRUE,"Sheet2";#N/A,#N/A,TRUE,"Sheet3"}</definedName>
    <definedName function="false" hidden="true" name="wrn.INSTRUMENT._.LIST." vbProcedure="false">{#N/A,#N/A,TRUE,"Sheet1";#N/A,#N/A,TRUE,"Sheet2";#N/A,#N/A,TRUE,"Sheet3"}</definedName>
    <definedName function="false" hidden="true" name="wrn.LISTE_CONSO." vbProcedure="false">{#N/A,#N/A,FALSE,"PageGarde";#N/A,#N/A,FALSE,"Notes";#N/A,#N/A,FALSE,"LCE"}</definedName>
    <definedName function="false" hidden="true" name="wrn.Print._.Output." vbProcedure="false">{#N/A,#N/A,FALSE,"OUTPUT SHEET "}</definedName>
    <definedName function="false" hidden="true" name="wrn.prix." vbProcedure="false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function="false" hidden="true" name="wrn.prix1." vbProcedure="false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function="false" hidden="true" name="wrn.Profile._.and._.Basis." vbProcedure="false">{#N/A,#N/A,FALSE,"Project Profile";#N/A,#N/A,FALSE,"Basis of Estimate"}</definedName>
    <definedName function="false" hidden="true" name="wrn.ratio." vbProcedure="false">{#N/A,#N/A,FALSE,"JACKETS (1100 t) (1)"}</definedName>
    <definedName function="false" hidden="true" name="wrn.ratiomvr" vbProcedure="false">{#N/A,#N/A,FALSE,"JACKETS (1100 t) (1)"}</definedName>
    <definedName function="false" hidden="true" name="wrn.Rev._.0." vbProcedure="false">{"Rev 0 Normal",#N/A,FALSE,"FNM Plan-Rev 0";"Rev 0 Pricing",#N/A,FALSE,"FNM Plan-Rev 0"}</definedName>
    <definedName function="false" hidden="true" name="wrn.Summary." vbProcedure="false">{"Summary",#N/A,FALSE,"Summary"}</definedName>
    <definedName function="false" hidden="true" name="wrn1.ratio." vbProcedure="false">{#N/A,#N/A,FALSE,"JACKETS (1100 t) (1)"}</definedName>
    <definedName function="false" hidden="true" name="xxxxxxx" vbProcedure="false">{#N/A,#N/A,FALSE,"Sum6 (1)"}</definedName>
    <definedName function="false" hidden="false" name="zz" vbProcedure="false">#REF!</definedName>
    <definedName function="false" hidden="false" name="\A" vbProcedure="false">#REF!</definedName>
    <definedName function="false" hidden="false" name="\C" vbProcedure="false">#REF!</definedName>
    <definedName function="false" hidden="false" name="\P" vbProcedure="false">#REF!</definedName>
    <definedName function="false" hidden="false" name="_6.6KV" vbProcedure="false">#REF!</definedName>
    <definedName function="false" hidden="true" name="_89__123Graph_ACHART_1" vbProcedure="false">#REF!</definedName>
    <definedName function="false" hidden="true" name="_90__123Graph_BCHART_1" vbProcedure="false">#REF!</definedName>
    <definedName function="false" hidden="true" name="_91__123Graph_CCHART_1" vbProcedure="false">#REF!</definedName>
    <definedName function="false" hidden="true" name="_92__123Graph_XCHART_1" vbProcedure="false">#REF!</definedName>
    <definedName function="false" hidden="true" name="_Fill" vbProcedure="false">#REF!</definedName>
    <definedName function="false" hidden="true" name="_Key1" vbProcedure="false">#REF!</definedName>
    <definedName function="false" hidden="true" name="_Key2" vbProcedure="false">#REF!</definedName>
    <definedName function="false" hidden="true" name="_Order1" vbProcedure="false">255</definedName>
    <definedName function="false" hidden="true" name="_Order2" vbProcedure="false">0</definedName>
    <definedName function="false" hidden="true" name="_Parse_Out" vbProcedure="false">#REF!</definedName>
    <definedName function="false" hidden="false" name="_PG1" vbProcedure="false">#REF!</definedName>
    <definedName function="false" hidden="true" name="_Regression_Out" vbProcedure="false">#REF!</definedName>
    <definedName function="false" hidden="true" name="_Regression_Y" vbProcedure="false">#REF!</definedName>
    <definedName function="false" hidden="true" name="_Sort" vbProcedure="false">#REF!</definedName>
    <definedName function="false" hidden="true" name="_Table1_In1" vbProcedure="false">#REF!</definedName>
    <definedName function="false" hidden="true" name="_Table1_In2" vbProcedure="false">#REF!</definedName>
    <definedName function="false" hidden="true" name="__123Graph_A" vbProcedure="false">#REF!</definedName>
    <definedName function="false" hidden="true" name="__123Graph_AGraph1" vbProcedure="false">#REF!</definedName>
    <definedName function="false" hidden="true" name="__123Graph_AGraph2" vbProcedure="false">#REF!</definedName>
    <definedName function="false" hidden="true" name="__123Graph_AMPHISTG" vbProcedure="false">#REF!</definedName>
    <definedName function="false" hidden="true" name="__123Graph_APERFORMANCE" vbProcedure="false">#REF!</definedName>
    <definedName function="false" hidden="true" name="__123Graph_Aｶﾚﾝﾄ" vbProcedure="false">#REF!</definedName>
    <definedName function="false" hidden="true" name="__123Graph_B" vbProcedure="false">#REF!</definedName>
    <definedName function="false" hidden="true" name="__123Graph_BGraph1" vbProcedure="false">#REF!</definedName>
    <definedName function="false" hidden="true" name="__123Graph_BGraph2" vbProcedure="false">#REF!</definedName>
    <definedName function="false" hidden="true" name="__123Graph_BPERFORMANCE" vbProcedure="false">#REF!</definedName>
    <definedName function="false" hidden="true" name="__123Graph_Bｶﾚﾝﾄ" vbProcedure="false">#REF!</definedName>
    <definedName function="false" hidden="true" name="__123Graph_CGraph1" vbProcedure="false">#REF!</definedName>
    <definedName function="false" hidden="true" name="__123Graph_CGraph2" vbProcedure="false">#REF!</definedName>
    <definedName function="false" hidden="true" name="__123Graph_Cｶﾚﾝﾄ" vbProcedure="false">#REF!</definedName>
    <definedName function="false" hidden="true" name="__123Graph_DGraph1" vbProcedure="false">#REF!</definedName>
    <definedName function="false" hidden="true" name="__123Graph_DGraph2" vbProcedure="false">#REF!</definedName>
    <definedName function="false" hidden="true" name="__123Graph_Dｶﾚﾝﾄ" vbProcedure="false">#REF!</definedName>
    <definedName function="false" hidden="true" name="__123Graph_EGraph1" vbProcedure="false">#REF!</definedName>
    <definedName function="false" hidden="true" name="__123Graph_EGraph2" vbProcedure="false">#REF!</definedName>
    <definedName function="false" hidden="true" name="__123Graph_Eｶﾚﾝﾄ" vbProcedure="false">#REF!</definedName>
    <definedName function="false" hidden="true" name="__123Graph_FGraph1" vbProcedure="false">#REF!</definedName>
    <definedName function="false" hidden="true" name="__123Graph_FGraph2" vbProcedure="false">#REF!</definedName>
    <definedName function="false" hidden="true" name="__123Graph_Fｶﾚﾝﾄ" vbProcedure="false">#REF!</definedName>
    <definedName function="false" hidden="true" name="__123Graph_X" vbProcedure="false">#REF!</definedName>
    <definedName function="false" hidden="true" name="__123Graph_XMPHISTG" vbProcedure="false">#REF!</definedName>
    <definedName function="false" hidden="true" name="__123Graph_XPERFORMANCE" vbProcedure="false">#REF!</definedName>
    <definedName function="false" hidden="false" name="__PG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<sst xmlns="http://schemas.openxmlformats.org/spreadsheetml/2006/main" count="2265" uniqueCount="1281">
  <si>
    <t xml:space="preserve">Project N°</t>
  </si>
  <si>
    <t xml:space="preserve">Unit</t>
  </si>
  <si>
    <t xml:space="preserve">Document Code</t>
  </si>
  <si>
    <t xml:space="preserve">Serial N°</t>
  </si>
  <si>
    <t xml:space="preserve">Rev.</t>
  </si>
  <si>
    <t xml:space="preserve">Page</t>
  </si>
  <si>
    <t xml:space="preserve">218857C</t>
  </si>
  <si>
    <t xml:space="preserve">00</t>
  </si>
  <si>
    <t xml:space="preserve">PS 1600</t>
  </si>
  <si>
    <t xml:space="preserve">0001</t>
  </si>
  <si>
    <t xml:space="preserve">A</t>
  </si>
  <si>
    <t xml:space="preserve">1</t>
  </si>
  <si>
    <t xml:space="preserve">SOCAR</t>
  </si>
  <si>
    <t xml:space="preserve">NEW REFINERY PROJECT</t>
  </si>
  <si>
    <t xml:space="preserve">PRICE SCHEDULE
for
ELECTRICAL WORKS
Area Process North</t>
  </si>
  <si>
    <t xml:space="preserve">16.02.2026</t>
  </si>
  <si>
    <t xml:space="preserve">FIRST ISSUED</t>
  </si>
  <si>
    <t xml:space="preserve">Rev</t>
  </si>
  <si>
    <t xml:space="preserve">Date
DD/MM/YY</t>
  </si>
  <si>
    <t xml:space="preserve">STATUS</t>
  </si>
  <si>
    <t xml:space="preserve">WRITTEN BY
(name &amp; visa)</t>
  </si>
  <si>
    <t xml:space="preserve">CHECKED BY
(name &amp; visa)</t>
  </si>
  <si>
    <t xml:space="preserve">APPROVED BY
(name &amp; visa)</t>
  </si>
  <si>
    <t xml:space="preserve">DOCUMENT REVISIONS</t>
  </si>
  <si>
    <t xml:space="preserve">Sections changed are identified by a vertical line in the margin</t>
  </si>
  <si>
    <t xml:space="preserve">TEN-MBP-Onshore-PS1600-ENG-Rev0</t>
  </si>
  <si>
    <t xml:space="preserve">TABLE OF CONTENTS</t>
  </si>
  <si>
    <t xml:space="preserve">2      QUANTITIES AND PRICE SCHEDULES</t>
  </si>
  <si>
    <t xml:space="preserve">1      INTRODUCTION</t>
  </si>
  <si>
    <t xml:space="preserve">The purpose of the present document is to set forth the unit price for each Price Item as defined into the Price </t>
  </si>
  <si>
    <t xml:space="preserve">Description (PD1600); thereby enabling the calculation of the total direct cost for the Electrical Works to be executed by</t>
  </si>
  <si>
    <t xml:space="preserve">SUBCONTRACTOR.</t>
  </si>
  <si>
    <t xml:space="preserve">Document Type - Work Code</t>
  </si>
  <si>
    <t xml:space="preserve">Rev. </t>
  </si>
  <si>
    <t xml:space="preserve">Bidder to consider Secondary Average Cable length:
-secondary cable length for Electrical Tracing System (1650) =  50 lm
-secondary cable length for Lighting System (1680) = 50 lm
</t>
  </si>
  <si>
    <t xml:space="preserve">PRICE SCHEDULE FOR ELECTRICAL WORKS</t>
  </si>
  <si>
    <t xml:space="preserve">FCC</t>
  </si>
  <si>
    <t xml:space="preserve">ss FCC</t>
  </si>
  <si>
    <t xml:space="preserve">Overall QTY</t>
  </si>
  <si>
    <t xml:space="preserve">Bidder to Fill Yellow Cells </t>
  </si>
  <si>
    <t xml:space="preserve">U58</t>
  </si>
  <si>
    <t xml:space="preserve">SS 00-BA-815</t>
  </si>
  <si>
    <t xml:space="preserve">Productivity </t>
  </si>
  <si>
    <t xml:space="preserve">Total
Manhours</t>
  </si>
  <si>
    <t xml:space="preserve">Direct Unit Price 
Labour </t>
  </si>
  <si>
    <t xml:space="preserve">Direct Unit Price 
Material</t>
  </si>
  <si>
    <t xml:space="preserve">Direct Total Price 
Material </t>
  </si>
  <si>
    <t xml:space="preserve">Direct Total Price 
Labour </t>
  </si>
  <si>
    <t xml:space="preserve">Direct Total Price 
Material + Labour </t>
  </si>
  <si>
    <t xml:space="preserve">Pay Item</t>
  </si>
  <si>
    <t xml:space="preserve">Work description</t>
  </si>
  <si>
    <t xml:space="preserve">U.M.</t>
  </si>
  <si>
    <t xml:space="preserve">[MHs/u.m]</t>
  </si>
  <si>
    <t xml:space="preserve">MHs</t>
  </si>
  <si>
    <t xml:space="preserve">[USD/ u.m]</t>
  </si>
  <si>
    <t xml:space="preserve">USD</t>
  </si>
  <si>
    <t xml:space="preserve">Unit Material</t>
  </si>
  <si>
    <t xml:space="preserve">Total Material</t>
  </si>
  <si>
    <t xml:space="preserve">Unit Mh</t>
  </si>
  <si>
    <t xml:space="preserve">Total Mh</t>
  </si>
  <si>
    <t xml:space="preserve">Unit Lab</t>
  </si>
  <si>
    <t xml:space="preserve">Total Lab</t>
  </si>
  <si>
    <t xml:space="preserve">Unit Eq</t>
  </si>
  <si>
    <t xml:space="preserve">Total Eq</t>
  </si>
  <si>
    <t xml:space="preserve">Unit Tool</t>
  </si>
  <si>
    <t xml:space="preserve">Total Tool</t>
  </si>
  <si>
    <t xml:space="preserve">Unit Subcon</t>
  </si>
  <si>
    <t xml:space="preserve">Total Subcon</t>
  </si>
  <si>
    <t xml:space="preserve">Total Unit</t>
  </si>
  <si>
    <t xml:space="preserve">Grand Total</t>
  </si>
  <si>
    <t xml:space="preserve">   SYSTEM 1610 - GROUNDING AND LIGHTNING SYSTEM</t>
  </si>
  <si>
    <t xml:space="preserve">1610.01</t>
  </si>
  <si>
    <t xml:space="preserve">INSTALLATION OF UNDERGROUND GROUNDING CONDUCTOR</t>
  </si>
  <si>
    <t xml:space="preserve">1610.01.01</t>
  </si>
  <si>
    <t xml:space="preserve"> Section 25 - 50 mm²</t>
  </si>
  <si>
    <t xml:space="preserve">m</t>
  </si>
  <si>
    <t xml:space="preserve">GAS CHEMICAL COMPLEX_CCB - COST</t>
  </si>
  <si>
    <t xml:space="preserve">1610.01.02</t>
  </si>
  <si>
    <t xml:space="preserve"> Section 70 - 150 mm²</t>
  </si>
  <si>
    <t xml:space="preserve">1610.01.03</t>
  </si>
  <si>
    <t xml:space="preserve"> Section 185 - 240 mm² (up to 500 mm2)</t>
  </si>
  <si>
    <t xml:space="preserve">1610.02</t>
  </si>
  <si>
    <t xml:space="preserve">INSTALLATION AND CONNECTION OF ROD WITH INSPECTION PIT</t>
  </si>
  <si>
    <t xml:space="preserve">1610.02.01</t>
  </si>
  <si>
    <t xml:space="preserve"> Rod length up to and including 1.5 m</t>
  </si>
  <si>
    <t xml:space="preserve">ea</t>
  </si>
  <si>
    <t xml:space="preserve">1610.02.02</t>
  </si>
  <si>
    <t xml:space="preserve"> Rod length above 1.5 m, up to and including 3 m </t>
  </si>
  <si>
    <t xml:space="preserve">1610.02.03</t>
  </si>
  <si>
    <t xml:space="preserve"> Rod length above 3 m, up to and including 6.0 m</t>
  </si>
  <si>
    <t xml:space="preserve">1610.03</t>
  </si>
  <si>
    <t xml:space="preserve">INSTALLATION AND CONNECTION OF ROD WITHOUT INSPECTION PIT (DIRECTLY BURIED)</t>
  </si>
  <si>
    <t xml:space="preserve">1610.03.01</t>
  </si>
  <si>
    <t xml:space="preserve">1610.03.02</t>
  </si>
  <si>
    <t xml:space="preserve">1610.03.03</t>
  </si>
  <si>
    <t xml:space="preserve">1610.04</t>
  </si>
  <si>
    <t xml:space="preserve">INSTALLATION OF GROUNDING BAR (DISPATCHER)</t>
  </si>
  <si>
    <t xml:space="preserve">1610.04.01</t>
  </si>
  <si>
    <t xml:space="preserve"> Dispatcher on steel/concrete structure direct mounting</t>
  </si>
  <si>
    <t xml:space="preserve">1610.04.02</t>
  </si>
  <si>
    <t xml:space="preserve"> Dispatcher on independent frame mounting</t>
  </si>
  <si>
    <t xml:space="preserve">1610.04.03</t>
  </si>
  <si>
    <t xml:space="preserve"> Substation main grounding bar - tape, aboveground</t>
  </si>
  <si>
    <t xml:space="preserve">1610.05</t>
  </si>
  <si>
    <t xml:space="preserve">INSTALLATION OF OVERHEAD CONDUCTOR</t>
  </si>
  <si>
    <t xml:space="preserve">1610.05.01</t>
  </si>
  <si>
    <t xml:space="preserve">1610.05.02</t>
  </si>
  <si>
    <t xml:space="preserve">1610.05.03</t>
  </si>
  <si>
    <t xml:space="preserve">1610.06</t>
  </si>
  <si>
    <t xml:space="preserve">EQUIPMENT/STRUCTURE GROUNDING CONNECTION</t>
  </si>
  <si>
    <t xml:space="preserve">1610.06.01</t>
  </si>
  <si>
    <t xml:space="preserve">1610.06.02</t>
  </si>
  <si>
    <t xml:space="preserve">1610.06.03</t>
  </si>
  <si>
    <t xml:space="preserve">1610.07</t>
  </si>
  <si>
    <t xml:space="preserve">INSTALLATION OF EARTHING LUG</t>
  </si>
  <si>
    <t xml:space="preserve">1610.07.01</t>
  </si>
  <si>
    <t xml:space="preserve"> Normal - plate length = 75 mm</t>
  </si>
  <si>
    <t xml:space="preserve">1610.07.02</t>
  </si>
  <si>
    <t xml:space="preserve"> Long - plate length = 150 mm</t>
  </si>
  <si>
    <t xml:space="preserve">1610.08</t>
  </si>
  <si>
    <t xml:space="preserve">INSTALLATION OF LIGHTNING PROTECTION SYSTEM</t>
  </si>
  <si>
    <t xml:space="preserve">1610.08.01</t>
  </si>
  <si>
    <t xml:space="preserve"> Lightning conductor - tape, aboveground</t>
  </si>
  <si>
    <t xml:space="preserve">1610.08.02</t>
  </si>
  <si>
    <t xml:space="preserve"> Lightning conductor - wire, aboveground</t>
  </si>
  <si>
    <t xml:space="preserve">1610.08.03</t>
  </si>
  <si>
    <t xml:space="preserve"> Air terminals</t>
  </si>
  <si>
    <t xml:space="preserve">1610.08.04</t>
  </si>
  <si>
    <t xml:space="preserve"> Surge arresters</t>
  </si>
  <si>
    <t xml:space="preserve">1610.08.05</t>
  </si>
  <si>
    <t xml:space="preserve"> Earthing system couplers</t>
  </si>
  <si>
    <t xml:space="preserve">   SYSTEM 1620 - SUBSTATION EQUIPMENT</t>
  </si>
  <si>
    <t xml:space="preserve">1620.01</t>
  </si>
  <si>
    <t xml:space="preserve">INSTALLATION OF MAIN TRANSFORMERS, LIQUID IMMERSED</t>
  </si>
  <si>
    <t xml:space="preserve">1620.01.01</t>
  </si>
  <si>
    <t xml:space="preserve"> Primary ..... kV, secondary ..... kV - Rated power ≤ 5 MVA</t>
  </si>
  <si>
    <t xml:space="preserve">1620.01.02</t>
  </si>
  <si>
    <t xml:space="preserve"> Primary ..... kV, secondary ..... kV - Rated power 5.1 - 20 MVA</t>
  </si>
  <si>
    <t xml:space="preserve">1620.01.03</t>
  </si>
  <si>
    <t xml:space="preserve"> Primary ..... kV, secondary ..... kV - Rated power 20.1 - 50 MVA</t>
  </si>
  <si>
    <t xml:space="preserve">1620.01.04</t>
  </si>
  <si>
    <t xml:space="preserve"> Primary ..... kV, secondary ..... kV - Rated power 51 - 100 MVA</t>
  </si>
  <si>
    <t xml:space="preserve">1620.01.05</t>
  </si>
  <si>
    <t xml:space="preserve"> Primary ..... kV, secondary ..... kV - Rated power &gt; 100 MVA</t>
  </si>
  <si>
    <t xml:space="preserve">1620.02</t>
  </si>
  <si>
    <t xml:space="preserve">INSTALLATION OF MAIN TRANSFORMERS, CAST RESIN / DRY</t>
  </si>
  <si>
    <t xml:space="preserve">1620.02.01</t>
  </si>
  <si>
    <t xml:space="preserve">1620.02.02</t>
  </si>
  <si>
    <t xml:space="preserve">1620.02.03</t>
  </si>
  <si>
    <t xml:space="preserve">1620.03</t>
  </si>
  <si>
    <t xml:space="preserve">INSTALLATION OF DISTRIBUTION TRANSFORMERS, LIQUID IMMERSED</t>
  </si>
  <si>
    <t xml:space="preserve">1620.03.01</t>
  </si>
  <si>
    <t xml:space="preserve"> Primary ..... kV, secondary ..... V - Rated power 100 - 400 kVA</t>
  </si>
  <si>
    <t xml:space="preserve">1620.03.02</t>
  </si>
  <si>
    <t xml:space="preserve"> Primary ..... kV, secondary ..... V - Rated power 500 - 630 kVA</t>
  </si>
  <si>
    <t xml:space="preserve">1620.03.03</t>
  </si>
  <si>
    <t xml:space="preserve"> Primary ..... kV, secondary ..... V - Rated power 800 - 1000 kVA</t>
  </si>
  <si>
    <t xml:space="preserve">1620.03.04</t>
  </si>
  <si>
    <t xml:space="preserve"> Primary ..... kV, secondary ..... V - Rated power 1250 - 1600 kVA</t>
  </si>
  <si>
    <t xml:space="preserve">1620.03.05</t>
  </si>
  <si>
    <t xml:space="preserve"> Primary ..... kV, secondary ..... V - Rated power 2000 - 2500 kVA</t>
  </si>
  <si>
    <t xml:space="preserve">1620.03.06</t>
  </si>
  <si>
    <t xml:space="preserve"> Primary ..... kV, secondary ..... V - Rated power ≥ 3150 kVA</t>
  </si>
  <si>
    <t xml:space="preserve">1620.04</t>
  </si>
  <si>
    <t xml:space="preserve">INSTALLATION OF DISTRIBUTION TRANSFORMERS, CAST RESIN / DRY</t>
  </si>
  <si>
    <t xml:space="preserve">1620.04.01</t>
  </si>
  <si>
    <t xml:space="preserve">1620.04.02</t>
  </si>
  <si>
    <t xml:space="preserve">1620.04.03</t>
  </si>
  <si>
    <t xml:space="preserve">1620.04.04</t>
  </si>
  <si>
    <t xml:space="preserve">1620.04.05</t>
  </si>
  <si>
    <t xml:space="preserve">1620.04.06</t>
  </si>
  <si>
    <t xml:space="preserve">1620.05</t>
  </si>
  <si>
    <t xml:space="preserve">INSTALLATION OF REACTORS</t>
  </si>
  <si>
    <t xml:space="preserve">1620.05.01</t>
  </si>
  <si>
    <t xml:space="preserve"> MV - ...... kV reactor - ...... kVAr - Indoor</t>
  </si>
  <si>
    <t xml:space="preserve">1620.05.02</t>
  </si>
  <si>
    <t xml:space="preserve"> MV - ...... kV reactor - ...... kVAr - Outdoor</t>
  </si>
  <si>
    <t xml:space="preserve">1620.06</t>
  </si>
  <si>
    <t xml:space="preserve">INSTALLATION OF MEDIUM VOLTAGE SWITCHGEARS AND MCCs</t>
  </si>
  <si>
    <t xml:space="preserve">1620.06.01</t>
  </si>
  <si>
    <t xml:space="preserve"> MV (air insulated) - ...... kV switchgear columns - ...... A - ...... kA</t>
  </si>
  <si>
    <t xml:space="preserve">1620.06.02</t>
  </si>
  <si>
    <t xml:space="preserve"> MV (GIS) - ...... kV switchgear columns - ...... A - ...... kA</t>
  </si>
  <si>
    <t xml:space="preserve">1620.07</t>
  </si>
  <si>
    <t xml:space="preserve">INSTALLATION OF LOW VOLTAGE SWITCHGEARS AND MCCs</t>
  </si>
  <si>
    <t xml:space="preserve">1620.07.01</t>
  </si>
  <si>
    <t xml:space="preserve"> LV (≤ 1 kV) - ...... V switchgear columns - ...... A - ...... kA</t>
  </si>
  <si>
    <t xml:space="preserve">1620.07.02</t>
  </si>
  <si>
    <t xml:space="preserve"> LV (≤ 1 kV) - ...... V motor control center columns - ...... A - ...... kA</t>
  </si>
  <si>
    <t xml:space="preserve">1620.08</t>
  </si>
  <si>
    <t xml:space="preserve">INSTALLATION OF LOW VOLTAGE DISTRIBUTION AND AUXILIARY PANELS</t>
  </si>
  <si>
    <t xml:space="preserve">1620.08.01</t>
  </si>
  <si>
    <t xml:space="preserve"> General Distribution Board</t>
  </si>
  <si>
    <t xml:space="preserve">1620.08.02</t>
  </si>
  <si>
    <t xml:space="preserve"> Lighting / Small Power distribution panel</t>
  </si>
  <si>
    <t xml:space="preserve">1620.08.03</t>
  </si>
  <si>
    <t xml:space="preserve"> MOVs distribution panel</t>
  </si>
  <si>
    <t xml:space="preserve">1620.08.04</t>
  </si>
  <si>
    <t xml:space="preserve"> Emergency diesel generator set control panel</t>
  </si>
  <si>
    <t xml:space="preserve">1620.08.05</t>
  </si>
  <si>
    <t xml:space="preserve"> Synchronous motor / generator excitation panel</t>
  </si>
  <si>
    <t xml:space="preserve">1620.08.06</t>
  </si>
  <si>
    <t xml:space="preserve"> Substation electrical/instrument interface panel</t>
  </si>
  <si>
    <t xml:space="preserve">1620.08.07</t>
  </si>
  <si>
    <t xml:space="preserve"> Substation alarm annunciator panel</t>
  </si>
  <si>
    <t xml:space="preserve">1620.08.08</t>
  </si>
  <si>
    <t xml:space="preserve"> PMS/SCADA panels and workstations</t>
  </si>
  <si>
    <t xml:space="preserve">1620.08.09</t>
  </si>
  <si>
    <t xml:space="preserve"> Substation (fiscal) metering panel</t>
  </si>
  <si>
    <t xml:space="preserve">1620.08.10</t>
  </si>
  <si>
    <t xml:space="preserve"> Digital Fault Recorder panel</t>
  </si>
  <si>
    <t xml:space="preserve">1620.09</t>
  </si>
  <si>
    <t xml:space="preserve">INSTALLATION OF BUS DUCTS</t>
  </si>
  <si>
    <t xml:space="preserve">1620.09.01</t>
  </si>
  <si>
    <t xml:space="preserve"> MV, Metal Enclosed type - ...... kV bus duct - ...... A - ...... kA</t>
  </si>
  <si>
    <t xml:space="preserve">1620.09.02</t>
  </si>
  <si>
    <t xml:space="preserve"> MV, Cast Resin type - ...... kV bus duct - ...... A - ...... kA</t>
  </si>
  <si>
    <t xml:space="preserve">1620.09.03</t>
  </si>
  <si>
    <t xml:space="preserve"> MV  - ...... kV cable bus system with elbows, eq. connections &amp; wall penetration</t>
  </si>
  <si>
    <t xml:space="preserve">1620.09.11</t>
  </si>
  <si>
    <t xml:space="preserve"> LV (≤ 1 kV), Metal Enclosed type - ...... V bus duct - ...... A - ...... kA - Indoor</t>
  </si>
  <si>
    <t xml:space="preserve">1620.09.12</t>
  </si>
  <si>
    <t xml:space="preserve"> LV (≤ 1 kV), Cast Resin type - ...... V bus duct - ...... A - ...... kA - Outdoor</t>
  </si>
  <si>
    <t xml:space="preserve">1620.09.13</t>
  </si>
  <si>
    <t xml:space="preserve"> LV (≤ 1 kV) - ...... V cable bus system with elbows, eq. connections &amp; wall penetration</t>
  </si>
  <si>
    <t xml:space="preserve">1620.10</t>
  </si>
  <si>
    <t xml:space="preserve">INSTALLATION OF CAPACITOR BANKS</t>
  </si>
  <si>
    <t xml:space="preserve">1620.10.01</t>
  </si>
  <si>
    <t xml:space="preserve"> MV - ...... kV capacitor bank - ...... kVAr - Indoor</t>
  </si>
  <si>
    <t xml:space="preserve">1620.10.02</t>
  </si>
  <si>
    <t xml:space="preserve"> MV - ...... kV capacitor bank - ...... kVAr - Outdoor</t>
  </si>
  <si>
    <t xml:space="preserve">1620.10.11</t>
  </si>
  <si>
    <t xml:space="preserve"> LV (≤ 1 kV) - ...... V capacitor bank - ...... kVAr - Indoor</t>
  </si>
  <si>
    <t xml:space="preserve">1620.10.12</t>
  </si>
  <si>
    <t xml:space="preserve"> LV (≤ 1 kV) - ...... V capacitor bank - ...... kVAr - Outdoor</t>
  </si>
  <si>
    <t xml:space="preserve">1620.11</t>
  </si>
  <si>
    <t xml:space="preserve">INSTALLATION OF GROUNDING TRANSFORMERS &amp; RESISTORS</t>
  </si>
  <si>
    <t xml:space="preserve">1620.11.01</t>
  </si>
  <si>
    <t xml:space="preserve"> MV - ...... kV neutral grounding resistor - ...... A</t>
  </si>
  <si>
    <t xml:space="preserve">1620.11.11</t>
  </si>
  <si>
    <t xml:space="preserve"> MV - ...... kV neutral grounding transformer - ...... kVA - Indoor</t>
  </si>
  <si>
    <t xml:space="preserve">1620.11.12</t>
  </si>
  <si>
    <t xml:space="preserve"> MV - ...... kV neutral grounding transformer - ...... kVA - Outdoor</t>
  </si>
  <si>
    <t xml:space="preserve">1620.11.21</t>
  </si>
  <si>
    <t xml:space="preserve"> LV (≤ 1 kV) - ...... V neutral grounding resistor - ...... A</t>
  </si>
  <si>
    <t xml:space="preserve">1620.12</t>
  </si>
  <si>
    <t xml:space="preserve">INSTALLATION OF UPS SYSTEMS</t>
  </si>
  <si>
    <t xml:space="preserve">1620.12.01</t>
  </si>
  <si>
    <t xml:space="preserve"> Uninterruptible Power Supply (UPS) system, ...... V, ...... kVA</t>
  </si>
  <si>
    <t xml:space="preserve">1620.12.02</t>
  </si>
  <si>
    <t xml:space="preserve"> Uninterruptible Power Supply (UPS) system, redundant, ...... V, ...... + ...... kVA</t>
  </si>
  <si>
    <t xml:space="preserve">1620.13</t>
  </si>
  <si>
    <t xml:space="preserve">INSTALLATION OF DC CHARGERS</t>
  </si>
  <si>
    <t xml:space="preserve">1620.13.01</t>
  </si>
  <si>
    <t xml:space="preserve"> DC battery charger, ...... V, ...... A</t>
  </si>
  <si>
    <t xml:space="preserve">1620.13.02</t>
  </si>
  <si>
    <t xml:space="preserve"> DC battery charger, redundant, ...... V, ...... + ...... A</t>
  </si>
  <si>
    <t xml:space="preserve">1620.14</t>
  </si>
  <si>
    <t xml:space="preserve">INSTALLATION OF BATTERIES</t>
  </si>
  <si>
    <t xml:space="preserve">1620.14.01</t>
  </si>
  <si>
    <t xml:space="preserve"> Uninterruptible Power Supply (UPS) system battery bank, ...... V, ...... kVA, ..... hours</t>
  </si>
  <si>
    <t xml:space="preserve">1620.14.02</t>
  </si>
  <si>
    <t xml:space="preserve"> DC battery charger battery bank, ...... V, ...... kW, ..... hours</t>
  </si>
  <si>
    <t xml:space="preserve">1620.14.03</t>
  </si>
  <si>
    <t xml:space="preserve">Installation of batteries isolator switch</t>
  </si>
  <si>
    <t xml:space="preserve">1620.15</t>
  </si>
  <si>
    <t xml:space="preserve">INSTALLATION OF VARIABLE FREQUENCY DRIVES</t>
  </si>
  <si>
    <t xml:space="preserve">1620.15.01</t>
  </si>
  <si>
    <t xml:space="preserve"> MV - ...... kV variable frequency drive - ...... kW (up to 5 MW)</t>
  </si>
  <si>
    <t xml:space="preserve">1620.15.02</t>
  </si>
  <si>
    <t xml:space="preserve"> MV - ...... kV variable frequency drive - ...... MW (above 5 MW)</t>
  </si>
  <si>
    <t xml:space="preserve">1620.15.11</t>
  </si>
  <si>
    <t xml:space="preserve"> LV (≤ 1 kV) - ...... V variable frequency drive - ...... kW</t>
  </si>
  <si>
    <t xml:space="preserve">1620.15.12</t>
  </si>
  <si>
    <t xml:space="preserve"> LV (≤ 1 kV) - ...... V variable frequency drive, with bypass - ...... kW</t>
  </si>
  <si>
    <t xml:space="preserve">1620.15.21</t>
  </si>
  <si>
    <t xml:space="preserve"> LV (≤ 1 kV) - ...... V thyristor heater control panel - ...... kW</t>
  </si>
  <si>
    <t xml:space="preserve">1620.15.31</t>
  </si>
  <si>
    <t xml:space="preserve"> Filters for MV variable frequency drive</t>
  </si>
  <si>
    <t xml:space="preserve">1620.15.41</t>
  </si>
  <si>
    <t xml:space="preserve"> Filters for LV variable frequency drive</t>
  </si>
  <si>
    <t xml:space="preserve">1620.16</t>
  </si>
  <si>
    <t xml:space="preserve">INSTALLATION OF CABLE TRAYS AND CABLE LADDERS</t>
  </si>
  <si>
    <t xml:space="preserve">1620.16.01</t>
  </si>
  <si>
    <t xml:space="preserve"> Cable tray, length ..... m, width 50 - 75 mm</t>
  </si>
  <si>
    <t xml:space="preserve">1620.16.02</t>
  </si>
  <si>
    <t xml:space="preserve"> Cable tray, length ..... m, width 100 - 200 mm</t>
  </si>
  <si>
    <t xml:space="preserve">1620.16.03</t>
  </si>
  <si>
    <t xml:space="preserve"> Cable tray, length ..... m, width 300 - 400 mm</t>
  </si>
  <si>
    <t xml:space="preserve">1620.16.04</t>
  </si>
  <si>
    <t xml:space="preserve"> Cable tray, length ..... m, width 500 - 600 mm</t>
  </si>
  <si>
    <t xml:space="preserve">1620.16.05</t>
  </si>
  <si>
    <t xml:space="preserve"> Cable tray, length ..... m, width 700 - 900 mm</t>
  </si>
  <si>
    <t xml:space="preserve">1620.16.11</t>
  </si>
  <si>
    <t xml:space="preserve"> Cable ladder, length ..... m, width 50 - 75 mm</t>
  </si>
  <si>
    <t xml:space="preserve">1620.16.12</t>
  </si>
  <si>
    <t xml:space="preserve"> Cable ladder, length ..... m, width 100 - 200 mm</t>
  </si>
  <si>
    <t xml:space="preserve">1620.16.13</t>
  </si>
  <si>
    <t xml:space="preserve"> Cable ladder, length ..... m, width 300 - 400 mm</t>
  </si>
  <si>
    <t xml:space="preserve">1620.16.14</t>
  </si>
  <si>
    <t xml:space="preserve"> Cable ladder, length ..... m, width 500 - 600 mm</t>
  </si>
  <si>
    <t xml:space="preserve">1620.16.15</t>
  </si>
  <si>
    <t xml:space="preserve"> Cable ladder, length ..... m, width 700 - 900 mm</t>
  </si>
  <si>
    <t xml:space="preserve">1620.17</t>
  </si>
  <si>
    <t xml:space="preserve">INSTALLATION OF CABLE TRANSITS</t>
  </si>
  <si>
    <t xml:space="preserve">1620.17.01</t>
  </si>
  <si>
    <t xml:space="preserve">Frame type 2 (60 x 120 mm)</t>
  </si>
  <si>
    <t xml:space="preserve">1620.17.02</t>
  </si>
  <si>
    <t xml:space="preserve">Frame type 4 (120 x 120 mm)</t>
  </si>
  <si>
    <t xml:space="preserve">1620.17.03</t>
  </si>
  <si>
    <t xml:space="preserve">Frame type 6 (120 x 180 mm)</t>
  </si>
  <si>
    <t xml:space="preserve">1620.17.04</t>
  </si>
  <si>
    <t xml:space="preserve">Frame type 8 (120 x 240 mm)</t>
  </si>
  <si>
    <t xml:space="preserve">1620.17.11</t>
  </si>
  <si>
    <t xml:space="preserve">Inserts sect. 20 x 20 mm</t>
  </si>
  <si>
    <t xml:space="preserve">1620.17.12</t>
  </si>
  <si>
    <t xml:space="preserve">Inserts sect. 30 x 30 mm</t>
  </si>
  <si>
    <t xml:space="preserve">1620.17.13</t>
  </si>
  <si>
    <t xml:space="preserve">Inserts sect. 40 x 40 mm</t>
  </si>
  <si>
    <t xml:space="preserve">1620.17.14</t>
  </si>
  <si>
    <t xml:space="preserve">Inserts sect. 60 x 60 mm</t>
  </si>
  <si>
    <t xml:space="preserve">1620.17.15</t>
  </si>
  <si>
    <t xml:space="preserve">Inserts sect. 90 x 90 mm</t>
  </si>
  <si>
    <t xml:space="preserve">1620.17.16</t>
  </si>
  <si>
    <t xml:space="preserve">Inserts sect. 120 x 120 mm</t>
  </si>
  <si>
    <t xml:space="preserve">1620.18</t>
  </si>
  <si>
    <t xml:space="preserve">INSTALLATION OF CABLES WITHIN SUBSTATION</t>
  </si>
  <si>
    <t xml:space="preserve">1620.18.01</t>
  </si>
  <si>
    <t xml:space="preserve"> MV (≤ 36 kV) - ..../.... kV power cable, 3 cores, section 35 mm²</t>
  </si>
  <si>
    <t xml:space="preserve">1620.18.02</t>
  </si>
  <si>
    <t xml:space="preserve"> MV (≤ 36 kV) - ..../.... kV power cable, 3 cores, section 50 mm²</t>
  </si>
  <si>
    <t xml:space="preserve">1620.18.03</t>
  </si>
  <si>
    <t xml:space="preserve"> MV (≤ 36 kV) - ..../.... kV power cable, 3 cores, section 70 mm²</t>
  </si>
  <si>
    <t xml:space="preserve">1620.18.04</t>
  </si>
  <si>
    <t xml:space="preserve"> MV (≤ 36 kV) - ..../.... kV power cable, 3 cores, section 95 mm²</t>
  </si>
  <si>
    <t xml:space="preserve">1620.18.05</t>
  </si>
  <si>
    <t xml:space="preserve"> MV (≤ 36 kV) - ..../.... kV power cable, 3 cores, section 120 mm²</t>
  </si>
  <si>
    <t xml:space="preserve">1620.18.06</t>
  </si>
  <si>
    <t xml:space="preserve"> MV (≤ 36 kV) - ..../.... kV power cable, 3 cores, section 150 mm²</t>
  </si>
  <si>
    <t xml:space="preserve">1620.18.07</t>
  </si>
  <si>
    <t xml:space="preserve"> MV (≤ 36 kV) - ..../.... kV power cable, 3 cores, section 185 mm²</t>
  </si>
  <si>
    <t xml:space="preserve">1620.18.11</t>
  </si>
  <si>
    <t xml:space="preserve"> MV (≤ 36 kV) - ..../.... kV power cable, single core, section 240 mm²</t>
  </si>
  <si>
    <t xml:space="preserve">1620.18.12</t>
  </si>
  <si>
    <t xml:space="preserve"> MV (≤ 36 kV) - ..../.... kV power cable, single core, section 300 mm²</t>
  </si>
  <si>
    <t xml:space="preserve">1620.18.13</t>
  </si>
  <si>
    <t xml:space="preserve"> MV (≤ 36 kV) - ..../.... kV power cable, single core, section 400 mm²</t>
  </si>
  <si>
    <t xml:space="preserve">1620.18.14</t>
  </si>
  <si>
    <t xml:space="preserve"> MV (≤ 36 kV) - ..../.... kV power cable, single core, section 500 mm²</t>
  </si>
  <si>
    <t xml:space="preserve">1620.18.15</t>
  </si>
  <si>
    <t xml:space="preserve"> MV (≤ 36 kV) - ..../.... kV power cable, single core, section 630 mm²</t>
  </si>
  <si>
    <t xml:space="preserve">1620.18.16</t>
  </si>
  <si>
    <t xml:space="preserve"> MV (≤ 36 kV) - ..../.... kV power cable, single core, section 800 mm²</t>
  </si>
  <si>
    <t xml:space="preserve">1620.18.17</t>
  </si>
  <si>
    <t xml:space="preserve"> MV (≤ 36 kV) - ..../.... kV power cable, single core, section 1000 mm²</t>
  </si>
  <si>
    <t xml:space="preserve">1620.18.21</t>
  </si>
  <si>
    <t xml:space="preserve"> LV (≤ 1 kV) power cable, multicore, section 1.5 mm²</t>
  </si>
  <si>
    <t xml:space="preserve">1620.18.22</t>
  </si>
  <si>
    <t xml:space="preserve"> LV (≤ 1 kV) power cable, multicore, section 2.5 mm²</t>
  </si>
  <si>
    <t xml:space="preserve">1620.18.23</t>
  </si>
  <si>
    <t xml:space="preserve"> LV (≤ 1 kV) power cable, multicore, section 4 mm²</t>
  </si>
  <si>
    <t xml:space="preserve">1620.18.24</t>
  </si>
  <si>
    <t xml:space="preserve"> LV (≤ 1 kV) power cable, multicore, section 6 mm²</t>
  </si>
  <si>
    <t xml:space="preserve">1620.18.25</t>
  </si>
  <si>
    <t xml:space="preserve"> LV (≤ 1 kV) power cable, multicore, section 10 mm²</t>
  </si>
  <si>
    <t xml:space="preserve">1620.18.26</t>
  </si>
  <si>
    <t xml:space="preserve"> LV (≤ 1 kV) power cable, multicore, section 16 mm²</t>
  </si>
  <si>
    <t xml:space="preserve">1620.18.27</t>
  </si>
  <si>
    <t xml:space="preserve"> LV (≤ 1 kV) power cable, multicore, section 25 mm²</t>
  </si>
  <si>
    <t xml:space="preserve">1620.18.28</t>
  </si>
  <si>
    <t xml:space="preserve"> LV (≤ 1 kV) power cable, multicore, section 35 mm²</t>
  </si>
  <si>
    <t xml:space="preserve">1620.18.29</t>
  </si>
  <si>
    <t xml:space="preserve"> LV (≤ 1 kV) power cable, multicore, section 50 mm²</t>
  </si>
  <si>
    <t xml:space="preserve">1620.18.30</t>
  </si>
  <si>
    <t xml:space="preserve"> LV (≤ 1 kV) power cable, multicore, section 70 mm²</t>
  </si>
  <si>
    <t xml:space="preserve">1620.18.31</t>
  </si>
  <si>
    <t xml:space="preserve"> LV (≤ 1 kV) power cable, multicore, section 95 mm²</t>
  </si>
  <si>
    <t xml:space="preserve">1620.18.32</t>
  </si>
  <si>
    <t xml:space="preserve"> LV (≤ 1 kV) power cable, multicore, section 120 mm²</t>
  </si>
  <si>
    <t xml:space="preserve">1620.18.33</t>
  </si>
  <si>
    <t xml:space="preserve"> LV (≤ 1 kV) power cable, multicore, section 150 mm²</t>
  </si>
  <si>
    <t xml:space="preserve">1620.18.34</t>
  </si>
  <si>
    <t xml:space="preserve"> LV (≤ 1 kV) power cable, multicore, section 185 mm²</t>
  </si>
  <si>
    <t xml:space="preserve">1620.18.35</t>
  </si>
  <si>
    <t xml:space="preserve"> LV (≤ 1 kV) power cable, multicore, section 240 mm²</t>
  </si>
  <si>
    <t xml:space="preserve">1620.18.41</t>
  </si>
  <si>
    <t xml:space="preserve"> LV (≤ 1 kV) power cable, single core, section 300 mm²</t>
  </si>
  <si>
    <t xml:space="preserve">1620.18.42</t>
  </si>
  <si>
    <t xml:space="preserve"> LV (≤ 1 kV) power cable, single core, section 400 mm²</t>
  </si>
  <si>
    <t xml:space="preserve">1620.18.43</t>
  </si>
  <si>
    <t xml:space="preserve"> LV (≤ 1 kV) power cable, single core, section 500 mm²</t>
  </si>
  <si>
    <t xml:space="preserve">1620.18.44</t>
  </si>
  <si>
    <t xml:space="preserve"> LV (≤ 1 kV) power cable, single core, section 630 mm²</t>
  </si>
  <si>
    <t xml:space="preserve">1620.18.45</t>
  </si>
  <si>
    <t xml:space="preserve"> LV (≤ 1 kV) power cable, single core, section 800 mm²</t>
  </si>
  <si>
    <t xml:space="preserve">1620.18.46</t>
  </si>
  <si>
    <t xml:space="preserve"> LV (≤ 1 kV) power cable, single core, section 1000 mm²</t>
  </si>
  <si>
    <t xml:space="preserve">1620.18.51</t>
  </si>
  <si>
    <t xml:space="preserve"> LV (≤ 1 kV) control cable, section 1.5 - 2.5 mm², 3 to 5 cores</t>
  </si>
  <si>
    <t xml:space="preserve">1620.18.52</t>
  </si>
  <si>
    <t xml:space="preserve"> LV (≤ 1 kV) control cable, section 1.5 - 2.5 mm², 6 to 7 cores</t>
  </si>
  <si>
    <t xml:space="preserve">1620.18.53</t>
  </si>
  <si>
    <t xml:space="preserve"> LV (≤ 1 kV) control cable, section 1.5 - 2.5 mm², 8 to 12 cores</t>
  </si>
  <si>
    <t xml:space="preserve">1620.18.54</t>
  </si>
  <si>
    <t xml:space="preserve"> LV (≤ 1 kV) control cable, section 1.5 - 2.5 mm², 13 to 19 cores</t>
  </si>
  <si>
    <t xml:space="preserve">1620.18.55</t>
  </si>
  <si>
    <t xml:space="preserve"> LV (≤ 1 kV) control cable, section 1.5 - 2.5 mm², 20 to 27 cores</t>
  </si>
  <si>
    <t xml:space="preserve">1620.18.56</t>
  </si>
  <si>
    <t xml:space="preserve"> LV (≤ 1 kV) control cable, section 1.5 - 2.5 mm², 28 to 37 cores</t>
  </si>
  <si>
    <t xml:space="preserve">1620.18.57</t>
  </si>
  <si>
    <t xml:space="preserve"> LV (≤ 1 kV) control cable, section 1.5 - 2.5 mm², 38 to 48 cores</t>
  </si>
  <si>
    <t xml:space="preserve">1620.18.61</t>
  </si>
  <si>
    <t xml:space="preserve"> Signal cable, overall shield, section 0.5 - 1.5 mm², single pair / triples</t>
  </si>
  <si>
    <t xml:space="preserve">1620.18.62</t>
  </si>
  <si>
    <t xml:space="preserve"> Signal cable, overall shield, section 0.5 - 1.5 mm², 2 to 6 pairs</t>
  </si>
  <si>
    <t xml:space="preserve">1620.18.63</t>
  </si>
  <si>
    <t xml:space="preserve"> Signal cable, overall shield, section 0.5 - 1.5 mm², 7 to 12 pairs</t>
  </si>
  <si>
    <t xml:space="preserve">1620.18.64</t>
  </si>
  <si>
    <t xml:space="preserve"> Signal cable, overall shield, section 0.5 - 1.5 mm², 2 to 6 triples</t>
  </si>
  <si>
    <t xml:space="preserve">1620.18.65</t>
  </si>
  <si>
    <t xml:space="preserve"> Signal cable, overall shield, section 0.5 - 1.5 mm², 7 to 12 triples</t>
  </si>
  <si>
    <t xml:space="preserve">1620.18.66</t>
  </si>
  <si>
    <t xml:space="preserve"> Signal cable, overall + individual shield, section 0.5 - 1.5 mm², 2 to 6 pairs</t>
  </si>
  <si>
    <t xml:space="preserve">1620.18.67</t>
  </si>
  <si>
    <t xml:space="preserve"> Signal cable, overall + individual shield, section 0.5 - 1.5 mm², 7 to 12 pairs</t>
  </si>
  <si>
    <t xml:space="preserve">1620.18.68</t>
  </si>
  <si>
    <t xml:space="preserve"> Signal cable, overall + individual shield, section 0.5 - 1.5 mm², 2 to 6 triples</t>
  </si>
  <si>
    <t xml:space="preserve">1620.18.69</t>
  </si>
  <si>
    <t xml:space="preserve"> Signal cable, overall + individual shield, section 0.5 - 1.5 mm², 7 to 12 triples</t>
  </si>
  <si>
    <t xml:space="preserve">1620.18.71</t>
  </si>
  <si>
    <t xml:space="preserve"> Fiber optic cable, 4 - 6 strands</t>
  </si>
  <si>
    <t xml:space="preserve">1620.18.72</t>
  </si>
  <si>
    <t xml:space="preserve"> Fiber optic cable, 12 strands</t>
  </si>
  <si>
    <t xml:space="preserve">1620.18.73</t>
  </si>
  <si>
    <t xml:space="preserve"> Fiber optic cable, 24 strands</t>
  </si>
  <si>
    <t xml:space="preserve">1620.18.81</t>
  </si>
  <si>
    <t xml:space="preserve"> Signal cable, coaxial or special</t>
  </si>
  <si>
    <t xml:space="preserve">1620.18.82</t>
  </si>
  <si>
    <t xml:space="preserve"> LAN cable</t>
  </si>
  <si>
    <t xml:space="preserve">1620.19</t>
  </si>
  <si>
    <t xml:space="preserve">CONNECTION OF CABLES WITHIN SUBSTATION</t>
  </si>
  <si>
    <t xml:space="preserve">1620.19.01</t>
  </si>
  <si>
    <t xml:space="preserve"> Connection of MV (≤ 36 kV) - ..../.... kV power cable, 3 cores, section 35 mm²</t>
  </si>
  <si>
    <t xml:space="preserve">1620.19.02</t>
  </si>
  <si>
    <t xml:space="preserve"> Connection of MV (≤ 36 kV) - ..../.... kV power cable, 3 cores, section 50 mm²</t>
  </si>
  <si>
    <t xml:space="preserve">1620.19.03</t>
  </si>
  <si>
    <t xml:space="preserve"> Connection of MV (≤ 36 kV) - ..../.... kV power cable, 3 cores, section 70 mm²</t>
  </si>
  <si>
    <t xml:space="preserve">1620.19.04</t>
  </si>
  <si>
    <t xml:space="preserve"> Connection of MV (≤ 36 kV) - ..../.... kV power cable, 3 cores, section 95 mm²</t>
  </si>
  <si>
    <t xml:space="preserve">1620.19.05</t>
  </si>
  <si>
    <t xml:space="preserve"> Connection of MV (≤ 36 kV) - ..../.... kV power cable, 3 cores, section 120 mm²</t>
  </si>
  <si>
    <t xml:space="preserve">1620.19.06</t>
  </si>
  <si>
    <t xml:space="preserve"> Connection of MV (≤ 36 kV) - ..../.... kV power cable, 3 cores, section 150 mm²</t>
  </si>
  <si>
    <t xml:space="preserve">1620.19.07</t>
  </si>
  <si>
    <t xml:space="preserve"> Connection of MV (≤ 36 kV) - ..../.... kV power cable, 3 cores, section 185 mm²</t>
  </si>
  <si>
    <t xml:space="preserve">1620.19.11</t>
  </si>
  <si>
    <t xml:space="preserve"> Connection of MV (≤ 36 kV) - ..../.... kV power cable, single core, section 240 mm²</t>
  </si>
  <si>
    <t xml:space="preserve">1620.19.12</t>
  </si>
  <si>
    <t xml:space="preserve"> Connection of MV (≤ 36 kV) - ..../.... kV power cable, single core, section 300 mm²</t>
  </si>
  <si>
    <t xml:space="preserve">1620.19.13</t>
  </si>
  <si>
    <t xml:space="preserve"> Connection of MV (≤ 36 kV) - ..../.... kV power cable, single core, section 400 mm²</t>
  </si>
  <si>
    <t xml:space="preserve">1620.19.14</t>
  </si>
  <si>
    <t xml:space="preserve"> Connection of MV (≤ 36 kV) - ..../.... kV power cable, single core, section 500 mm²</t>
  </si>
  <si>
    <t xml:space="preserve">1620.19.15</t>
  </si>
  <si>
    <t xml:space="preserve"> Connection of MV (≤ 36 kV) - ..../.... kV power cable, single core, section 630 mm²</t>
  </si>
  <si>
    <t xml:space="preserve">1620.19.16</t>
  </si>
  <si>
    <t xml:space="preserve"> Connection of MV (≤ 36 kV) - ..../.... kV power cable, single core, section 800 mm²</t>
  </si>
  <si>
    <t xml:space="preserve">1620.19.17</t>
  </si>
  <si>
    <t xml:space="preserve"> Connection of MV (≤ 36 kV) - ..../.... kV power cable, single core, section 1000 mm²</t>
  </si>
  <si>
    <t xml:space="preserve">1620.19.21</t>
  </si>
  <si>
    <t xml:space="preserve"> Connection of LV (≤ 1 kV) power cable, multicore, section 1.5 mm²</t>
  </si>
  <si>
    <t xml:space="preserve">1620.19.22</t>
  </si>
  <si>
    <t xml:space="preserve"> Connection of LV (≤ 1 kV) power cable, multicore, section 2.5 mm²</t>
  </si>
  <si>
    <t xml:space="preserve">1620.19.23</t>
  </si>
  <si>
    <t xml:space="preserve"> Connection of LV (≤ 1 kV) power cable, multicore, section 4 mm²</t>
  </si>
  <si>
    <t xml:space="preserve">1620.19.24</t>
  </si>
  <si>
    <t xml:space="preserve"> Connection of LV (≤ 1 kV) power cable, multicore, section 6 mm²</t>
  </si>
  <si>
    <t xml:space="preserve">1620.19.25</t>
  </si>
  <si>
    <t xml:space="preserve"> Connection of LV (≤ 1 kV) power cable, multicore, section 10 mm²</t>
  </si>
  <si>
    <t xml:space="preserve">1620.19.26</t>
  </si>
  <si>
    <t xml:space="preserve"> Connection of LV (≤ 1 kV) power cable, multicore, section 16 mm²</t>
  </si>
  <si>
    <t xml:space="preserve">1620.19.27</t>
  </si>
  <si>
    <t xml:space="preserve"> Connection of LV (≤ 1 kV) power cable, multicore, section 25 mm²</t>
  </si>
  <si>
    <t xml:space="preserve">1620.19.28</t>
  </si>
  <si>
    <t xml:space="preserve"> Connection of LV (≤ 1 kV) power cable, multicore, section 35 mm²</t>
  </si>
  <si>
    <t xml:space="preserve">1620.19.29</t>
  </si>
  <si>
    <t xml:space="preserve"> Connection of LV (≤ 1 kV) power cable, multicore, section 50 mm²</t>
  </si>
  <si>
    <t xml:space="preserve">1620.19.30</t>
  </si>
  <si>
    <t xml:space="preserve"> Connection of LV (≤ 1 kV) power cable, multicore, section 70 mm²</t>
  </si>
  <si>
    <t xml:space="preserve">1620.19.31</t>
  </si>
  <si>
    <t xml:space="preserve"> Connection of LV (≤ 1 kV) power cable, multicore, section 95 mm²</t>
  </si>
  <si>
    <t xml:space="preserve">1620.19.32</t>
  </si>
  <si>
    <t xml:space="preserve"> Connection of LV (≤ 1 kV) power cable, multicore, section 120 mm²</t>
  </si>
  <si>
    <t xml:space="preserve">1620.19.33</t>
  </si>
  <si>
    <t xml:space="preserve"> Connection of LV (≤ 1 kV) power cable, multicore, section 150 mm²</t>
  </si>
  <si>
    <t xml:space="preserve">1620.19.34</t>
  </si>
  <si>
    <t xml:space="preserve"> Connection of LV (≤ 1 kV) power cable, multicore, section 185 mm²</t>
  </si>
  <si>
    <t xml:space="preserve">1620.19.35</t>
  </si>
  <si>
    <t xml:space="preserve"> Connection of LV (≤ 1 kV) power cable, multicore, section 240 mm²</t>
  </si>
  <si>
    <t xml:space="preserve">1620.19.41</t>
  </si>
  <si>
    <t xml:space="preserve"> Connection of LV (≤ 1 kV) power cable, single core, section 300 mm²</t>
  </si>
  <si>
    <t xml:space="preserve">1620.19.42</t>
  </si>
  <si>
    <t xml:space="preserve"> Connection of LV (≤ 1 kV) power cable, single core, section 400 mm²</t>
  </si>
  <si>
    <t xml:space="preserve">1620.19.43</t>
  </si>
  <si>
    <t xml:space="preserve"> Connection of LV (≤ 1 kV) power cable, single core, section 500 mm²</t>
  </si>
  <si>
    <t xml:space="preserve">1620.19.44</t>
  </si>
  <si>
    <t xml:space="preserve"> Connection of LV (≤ 1 kV) power cable, single core, section 630 mm²</t>
  </si>
  <si>
    <t xml:space="preserve">1620.19.45</t>
  </si>
  <si>
    <t xml:space="preserve"> Connection of LV (≤ 1 kV) power cable, single core, section 800 mm²</t>
  </si>
  <si>
    <t xml:space="preserve">1620.19.46</t>
  </si>
  <si>
    <t xml:space="preserve"> Connection of LV (≤ 1 kV) power cable, single core, section 1000 mm²</t>
  </si>
  <si>
    <t xml:space="preserve">1620.19.51</t>
  </si>
  <si>
    <t xml:space="preserve"> Connection of LV (≤ 1 kV) control cable, section 1.5 - 2.5 mm², 3 to 5 cores</t>
  </si>
  <si>
    <t xml:space="preserve">1620.19.52</t>
  </si>
  <si>
    <t xml:space="preserve"> Connection of LV (≤ 1 kV) control cable, section 1.5 - 2.5 mm², 6 to 7 cores</t>
  </si>
  <si>
    <t xml:space="preserve">1620.19.53</t>
  </si>
  <si>
    <t xml:space="preserve"> Connection of LV (≤ 1 kV) control cable, section 1.5 - 2.5 mm², 8 to 12 cores</t>
  </si>
  <si>
    <t xml:space="preserve">1620.19.54</t>
  </si>
  <si>
    <t xml:space="preserve"> Connection of LV (≤ 1 kV) control cable, section 1.5 - 2.5 mm², 13 to 19 cores</t>
  </si>
  <si>
    <t xml:space="preserve">1620.19.55</t>
  </si>
  <si>
    <t xml:space="preserve"> Connection of LV (≤ 1 kV) control cable, section 1.5 - 2.5 mm², 20 to 27 cores</t>
  </si>
  <si>
    <t xml:space="preserve">1620.19.56</t>
  </si>
  <si>
    <t xml:space="preserve"> Connection of LV (≤ 1 kV) control cable, section 1.5 - 2.5 mm², 28 to 37 cores</t>
  </si>
  <si>
    <t xml:space="preserve">1620.19.57</t>
  </si>
  <si>
    <t xml:space="preserve"> Connection of LV (≤ 1 kV) control cable, section 1.5 - 2.5 mm², 38 to 48 cores</t>
  </si>
  <si>
    <t xml:space="preserve">1620.19.61</t>
  </si>
  <si>
    <t xml:space="preserve"> Connection of Signal cable, overall shield, section 0.5 - 1.5 mm², single pair / triples</t>
  </si>
  <si>
    <t xml:space="preserve">1620.19.62</t>
  </si>
  <si>
    <t xml:space="preserve"> Connection of Signal cable, overall shield, section 0.5 - 1.5 mm², 2 to 6 pairs</t>
  </si>
  <si>
    <t xml:space="preserve">1620.19.63</t>
  </si>
  <si>
    <t xml:space="preserve"> Connection of Signal cable, overall shield, section 0.5 - 1.5 mm², 7 to 12 pairs</t>
  </si>
  <si>
    <t xml:space="preserve">1620.19.64</t>
  </si>
  <si>
    <t xml:space="preserve"> Connection of Signal cable, overall shield, section 0.5 - 1.5 mm², 2 to 6 triples</t>
  </si>
  <si>
    <t xml:space="preserve">1620.19.65</t>
  </si>
  <si>
    <t xml:space="preserve"> Connection of Signal cable, overall shield, section 0.5 - 1.5 mm², 7 to 12 triples</t>
  </si>
  <si>
    <t xml:space="preserve">1620.19.66</t>
  </si>
  <si>
    <t xml:space="preserve"> Connection of Signal cable, overall + individual shield, section 0.5 - 1.5 mm², 2 to 6 pairs</t>
  </si>
  <si>
    <t xml:space="preserve">1620.19.67</t>
  </si>
  <si>
    <t xml:space="preserve"> Connection of Signal cable, overall + individual shield, section 0.5 - 1.5 mm², 7 to 12 pairs</t>
  </si>
  <si>
    <t xml:space="preserve">1620.19.68</t>
  </si>
  <si>
    <t xml:space="preserve"> Connection of Signal cable, overall + individual shield, section 0.5 - 1.5 mm², 2 to 6 triples</t>
  </si>
  <si>
    <t xml:space="preserve">1620.19.69</t>
  </si>
  <si>
    <t xml:space="preserve"> Connection of Signal cable, overall + individual shield, section 0.5 - 1.5 mm², 7 to 12 triples</t>
  </si>
  <si>
    <t xml:space="preserve">1620.19.71</t>
  </si>
  <si>
    <t xml:space="preserve"> Connection of Fiber optic cable, 4 - 6 strands - Connection</t>
  </si>
  <si>
    <t xml:space="preserve">1620.19.72</t>
  </si>
  <si>
    <t xml:space="preserve"> Connection of Fiber optic cable, 12 strands - Connection</t>
  </si>
  <si>
    <t xml:space="preserve">1620.19.73</t>
  </si>
  <si>
    <t xml:space="preserve"> Connection of Fiber optic cable, 24 strands - Connection</t>
  </si>
  <si>
    <t xml:space="preserve">1620.19.74</t>
  </si>
  <si>
    <t xml:space="preserve"> Connection of Fiber optic cable, 4 - 6 strands - splicing</t>
  </si>
  <si>
    <t xml:space="preserve">1620.19.75</t>
  </si>
  <si>
    <t xml:space="preserve"> Connection of Fiber optic cable, 12 strands - splicing</t>
  </si>
  <si>
    <t xml:space="preserve">1620.19.76</t>
  </si>
  <si>
    <t xml:space="preserve"> Connection of Fiber optic cable, 24 strands - splicing</t>
  </si>
  <si>
    <t xml:space="preserve">1620.19.81</t>
  </si>
  <si>
    <t xml:space="preserve"> Connection of Signal cable, coaxial or special</t>
  </si>
  <si>
    <t xml:space="preserve">1620.19.82</t>
  </si>
  <si>
    <t xml:space="preserve"> Connection of LAN cable</t>
  </si>
  <si>
    <t xml:space="preserve">   SYSTEM 1630 - POWER SYSTEM</t>
  </si>
  <si>
    <t xml:space="preserve">1630.01</t>
  </si>
  <si>
    <t xml:space="preserve">CABLE TRAY AND CABLE LADDER INSTALLATION</t>
  </si>
  <si>
    <t xml:space="preserve">1630.01.01</t>
  </si>
  <si>
    <t xml:space="preserve">1630.01.02</t>
  </si>
  <si>
    <t xml:space="preserve">1630.01.03</t>
  </si>
  <si>
    <t xml:space="preserve">1630.01.04</t>
  </si>
  <si>
    <t xml:space="preserve">1630.01.05</t>
  </si>
  <si>
    <t xml:space="preserve">1630.01.11</t>
  </si>
  <si>
    <t xml:space="preserve">1630.01.12</t>
  </si>
  <si>
    <t xml:space="preserve">1630.01.13</t>
  </si>
  <si>
    <t xml:space="preserve">1630.01.14</t>
  </si>
  <si>
    <t xml:space="preserve">1630.01.15</t>
  </si>
  <si>
    <t xml:space="preserve">1630.01.21</t>
  </si>
  <si>
    <t xml:space="preserve"> Cover, length ..... m, width 50 - 75 mm</t>
  </si>
  <si>
    <t xml:space="preserve">1630.01.22</t>
  </si>
  <si>
    <t xml:space="preserve"> Cover, length ..... m, width 100 - 200 mm</t>
  </si>
  <si>
    <t xml:space="preserve">1630.01.23</t>
  </si>
  <si>
    <t xml:space="preserve"> Cover, length ..... m, width 300 - 400 mm</t>
  </si>
  <si>
    <t xml:space="preserve">1630.01.24</t>
  </si>
  <si>
    <t xml:space="preserve"> Cover, length ..... m, width 500 - 600 mm</t>
  </si>
  <si>
    <t xml:space="preserve">1630.01.25</t>
  </si>
  <si>
    <t xml:space="preserve"> Cover, length ..... m, width 700 - 900 mm</t>
  </si>
  <si>
    <t xml:space="preserve">1630.02</t>
  </si>
  <si>
    <t xml:space="preserve">INSTALLATION OF UNDERGROUND RIGID CONDUIT</t>
  </si>
  <si>
    <t xml:space="preserve">1630.02.01</t>
  </si>
  <si>
    <t xml:space="preserve"> Steel conduit, up to Ø 1"</t>
  </si>
  <si>
    <t xml:space="preserve">1630.02.02</t>
  </si>
  <si>
    <t xml:space="preserve"> Steel conduit, Ø 1 ¼" - 1 ½"</t>
  </si>
  <si>
    <t xml:space="preserve">1630.02.03</t>
  </si>
  <si>
    <t xml:space="preserve"> Steel conduit, Ø 2"</t>
  </si>
  <si>
    <t xml:space="preserve">1630.02.04</t>
  </si>
  <si>
    <t xml:space="preserve"> Steel conduit, Ø 2 ½"</t>
  </si>
  <si>
    <t xml:space="preserve">1630.02.05</t>
  </si>
  <si>
    <t xml:space="preserve"> Steel conduit, Ø 3"</t>
  </si>
  <si>
    <t xml:space="preserve">1630.02.06</t>
  </si>
  <si>
    <t xml:space="preserve"> Steel conduit, Ø 4"</t>
  </si>
  <si>
    <t xml:space="preserve">1630.02.07</t>
  </si>
  <si>
    <t xml:space="preserve"> Steel conduit, Ø 5"</t>
  </si>
  <si>
    <t xml:space="preserve">1630.02.08</t>
  </si>
  <si>
    <t xml:space="preserve"> Steel conduit, Ø 6"</t>
  </si>
  <si>
    <t xml:space="preserve">1630.03</t>
  </si>
  <si>
    <t xml:space="preserve">INSTALLATION OF ABOVEGROUND RIGID CONDUIT</t>
  </si>
  <si>
    <t xml:space="preserve">1630.03.01</t>
  </si>
  <si>
    <t xml:space="preserve"> Open system, up to Ø 1"</t>
  </si>
  <si>
    <t xml:space="preserve">1630.03.02</t>
  </si>
  <si>
    <t xml:space="preserve"> Open system, Ø 1 ¼" - 1 ½"</t>
  </si>
  <si>
    <t xml:space="preserve">1630.03.03</t>
  </si>
  <si>
    <t xml:space="preserve"> Open system, Ø 2"</t>
  </si>
  <si>
    <t xml:space="preserve">1630.03.04</t>
  </si>
  <si>
    <t xml:space="preserve"> Open system, Ø 2 ½"</t>
  </si>
  <si>
    <t xml:space="preserve">1630.03.05</t>
  </si>
  <si>
    <t xml:space="preserve"> Open system, Ø 3"</t>
  </si>
  <si>
    <t xml:space="preserve">1630.03.06</t>
  </si>
  <si>
    <t xml:space="preserve"> Open system, Ø 4"</t>
  </si>
  <si>
    <t xml:space="preserve">1630.03.07</t>
  </si>
  <si>
    <t xml:space="preserve"> Open system, Ø 5"</t>
  </si>
  <si>
    <t xml:space="preserve">1630.03.08</t>
  </si>
  <si>
    <t xml:space="preserve"> Open system, Ø 6"</t>
  </si>
  <si>
    <t xml:space="preserve">1630.04</t>
  </si>
  <si>
    <t xml:space="preserve">INSTALLATION OF CABLES - DIRECTLY BURIED</t>
  </si>
  <si>
    <t xml:space="preserve">1630.04.01</t>
  </si>
  <si>
    <t xml:space="preserve">1630.04.02</t>
  </si>
  <si>
    <t xml:space="preserve">1630.04.03</t>
  </si>
  <si>
    <t xml:space="preserve">1630.04.04</t>
  </si>
  <si>
    <t xml:space="preserve">1630.04.05</t>
  </si>
  <si>
    <t xml:space="preserve">1630.04.06</t>
  </si>
  <si>
    <t xml:space="preserve">1630.04.07</t>
  </si>
  <si>
    <t xml:space="preserve">1630.04.11</t>
  </si>
  <si>
    <t xml:space="preserve">1630.04.12</t>
  </si>
  <si>
    <t xml:space="preserve">1630.04.13</t>
  </si>
  <si>
    <t xml:space="preserve">1630.04.14</t>
  </si>
  <si>
    <t xml:space="preserve">1630.04.15</t>
  </si>
  <si>
    <t xml:space="preserve">1630.04.16</t>
  </si>
  <si>
    <t xml:space="preserve">1630.04.17</t>
  </si>
  <si>
    <t xml:space="preserve">1630.04.21</t>
  </si>
  <si>
    <t xml:space="preserve">1630.04.22</t>
  </si>
  <si>
    <t xml:space="preserve">1630.04.23</t>
  </si>
  <si>
    <t xml:space="preserve">1630.04.24</t>
  </si>
  <si>
    <t xml:space="preserve">1630.04.25</t>
  </si>
  <si>
    <t xml:space="preserve">1630.04.26</t>
  </si>
  <si>
    <t xml:space="preserve">1630.04.27</t>
  </si>
  <si>
    <t xml:space="preserve">1630.04.28</t>
  </si>
  <si>
    <t xml:space="preserve">1630.04.29</t>
  </si>
  <si>
    <t xml:space="preserve">1630.04.30</t>
  </si>
  <si>
    <t xml:space="preserve">1630.04.31</t>
  </si>
  <si>
    <t xml:space="preserve">1630.04.32</t>
  </si>
  <si>
    <t xml:space="preserve">1630.04.33</t>
  </si>
  <si>
    <t xml:space="preserve">1630.04.34</t>
  </si>
  <si>
    <t xml:space="preserve">1630.04.35</t>
  </si>
  <si>
    <t xml:space="preserve">1630.04.41</t>
  </si>
  <si>
    <t xml:space="preserve">1630.04.42</t>
  </si>
  <si>
    <t xml:space="preserve">1630.04.43</t>
  </si>
  <si>
    <t xml:space="preserve">1630.04.44</t>
  </si>
  <si>
    <t xml:space="preserve">1630.04.45</t>
  </si>
  <si>
    <t xml:space="preserve">1630.04.46</t>
  </si>
  <si>
    <t xml:space="preserve">1630.04.51</t>
  </si>
  <si>
    <t xml:space="preserve">1630.04.52</t>
  </si>
  <si>
    <t xml:space="preserve">1630.04.53</t>
  </si>
  <si>
    <t xml:space="preserve">1630.04.54</t>
  </si>
  <si>
    <t xml:space="preserve">1630.04.55</t>
  </si>
  <si>
    <t xml:space="preserve">1630.04.56</t>
  </si>
  <si>
    <t xml:space="preserve">1630.04.57</t>
  </si>
  <si>
    <t xml:space="preserve">1630.04.61</t>
  </si>
  <si>
    <t xml:space="preserve">1630.04.62</t>
  </si>
  <si>
    <t xml:space="preserve">1630.04.63</t>
  </si>
  <si>
    <t xml:space="preserve">1630.04.64</t>
  </si>
  <si>
    <t xml:space="preserve">1630.04.65</t>
  </si>
  <si>
    <t xml:space="preserve">1630.04.66</t>
  </si>
  <si>
    <t xml:space="preserve">1630.04.67</t>
  </si>
  <si>
    <t xml:space="preserve">1630.04.68</t>
  </si>
  <si>
    <t xml:space="preserve">1630.04.69</t>
  </si>
  <si>
    <t xml:space="preserve">1630.04.71</t>
  </si>
  <si>
    <t xml:space="preserve">1630.04.72</t>
  </si>
  <si>
    <t xml:space="preserve">1630.04.73</t>
  </si>
  <si>
    <t xml:space="preserve">1630.04.81</t>
  </si>
  <si>
    <t xml:space="preserve">1630.04.82</t>
  </si>
  <si>
    <t xml:space="preserve">1630.04.101</t>
  </si>
  <si>
    <t xml:space="preserve"> Lead Sheathed MV (≤ 36 kV) - ..../.... kV power cable, 3 cores, section 35 mm² </t>
  </si>
  <si>
    <t xml:space="preserve">1630.04.102</t>
  </si>
  <si>
    <t xml:space="preserve"> Lead Sheathed MV (≤ 36 kV) - ..../.... kV power cable, 3 cores, section 50 mm²</t>
  </si>
  <si>
    <t xml:space="preserve">1630.04.103</t>
  </si>
  <si>
    <t xml:space="preserve"> Lead Sheathed MV (≤ 36 kV) - ..../.... kV power cable, 3 cores, section 70 mm²</t>
  </si>
  <si>
    <t xml:space="preserve">1630.04.104</t>
  </si>
  <si>
    <t xml:space="preserve"> Lead Sheathed MV (≤ 36 kV) - ..../.... kV power cable, 3 cores, section 95 mm² </t>
  </si>
  <si>
    <t xml:space="preserve">1630.04.105</t>
  </si>
  <si>
    <t xml:space="preserve"> Lead Sheathed MV (≤ 36 kV) - ..../.... kV power cable, 3 cores, section 120 mm² </t>
  </si>
  <si>
    <t xml:space="preserve">1630.04.106</t>
  </si>
  <si>
    <t xml:space="preserve"> Lead Sheathed MV (≤ 36 kV) - ..../.... kV power cable, 3 cores, section 150 mm² </t>
  </si>
  <si>
    <t xml:space="preserve">1630.04.107</t>
  </si>
  <si>
    <t xml:space="preserve"> Lead Sheathed MV (≤ 36 kV) - ..../.... kV power cable, 3 cores, section 185 mm² </t>
  </si>
  <si>
    <t xml:space="preserve">1630.04.111</t>
  </si>
  <si>
    <t xml:space="preserve"> Lead Sheathed  MV (≤ 36 kV) - ..../.... kV power cable, single core, section 240 mm² </t>
  </si>
  <si>
    <t xml:space="preserve">1630.04.112</t>
  </si>
  <si>
    <t xml:space="preserve"> Lead Sheathed MV (≤ 36 kV) - ..../.... kV power cable, single core, section 300 mm²</t>
  </si>
  <si>
    <t xml:space="preserve">1630.04.113</t>
  </si>
  <si>
    <t xml:space="preserve"> Lead Sheathed MV (≤ 36 kV) - ..../.... kV power cable, single core, section 400 mm² </t>
  </si>
  <si>
    <t xml:space="preserve">1630.04.114</t>
  </si>
  <si>
    <t xml:space="preserve"> Lead Sheathed MV (≤ 36 kV) - ..../.... kV power cable, single core, section 500 mm² </t>
  </si>
  <si>
    <t xml:space="preserve">1630.04.115</t>
  </si>
  <si>
    <t xml:space="preserve"> Lead Sheathed MV (≤ 36 kV) - ..../.... kV power cable, single core, section 630 mm² </t>
  </si>
  <si>
    <t xml:space="preserve">1630.04.116</t>
  </si>
  <si>
    <t xml:space="preserve"> Lead Sheathed MV (≤ 36 kV) - ..../.... kV power cable, single core, section 800 mm² </t>
  </si>
  <si>
    <t xml:space="preserve">1630.04.117</t>
  </si>
  <si>
    <t xml:space="preserve"> Lead Sheathed MV (≤ 36 kV) - ..../.... kV power cable, single core, section 1000 mm² </t>
  </si>
  <si>
    <t xml:space="preserve">1630.04.121</t>
  </si>
  <si>
    <t xml:space="preserve"> Lead Sheathed LV (≤ 1 kV) power cable, multicore, section 1.5 mm² </t>
  </si>
  <si>
    <t xml:space="preserve">1630.04.122</t>
  </si>
  <si>
    <t xml:space="preserve"> Lead Sheathed LV (≤ 1 kV) power cable, multicore, section 2.5 mm² </t>
  </si>
  <si>
    <t xml:space="preserve">1630.04.123</t>
  </si>
  <si>
    <t xml:space="preserve"> Lead Sheathed LV (≤ 1 kV) power cable, multicore, section 4 mm² </t>
  </si>
  <si>
    <t xml:space="preserve">1630.04.124</t>
  </si>
  <si>
    <t xml:space="preserve"> Lead Sheathed LV (≤ 1 kV) power cable, multicore, section 6 mm² </t>
  </si>
  <si>
    <t xml:space="preserve">1630.04.125</t>
  </si>
  <si>
    <t xml:space="preserve"> Lead Sheathed LV (≤ 1 kV) power cable, multicore, section 10 mm² </t>
  </si>
  <si>
    <t xml:space="preserve">1630.04.126</t>
  </si>
  <si>
    <t xml:space="preserve"> Lead Sheathed LV (≤ 1 kV) power cable, multicore, section 16 mm² </t>
  </si>
  <si>
    <t xml:space="preserve">1630.04.127</t>
  </si>
  <si>
    <t xml:space="preserve"> Lead Sheathed LV (≤ 1 kV) power cable, multicore, section 25 mm² </t>
  </si>
  <si>
    <t xml:space="preserve">1630.04.128</t>
  </si>
  <si>
    <t xml:space="preserve"> Lead Sheathed LV (≤ 1 kV) power cable, multicore, section 35 mm² </t>
  </si>
  <si>
    <t xml:space="preserve">1630.04.129</t>
  </si>
  <si>
    <t xml:space="preserve"> Lead Sheathed LV (≤ 1 kV) power cable, multicore, section 50 mm² </t>
  </si>
  <si>
    <t xml:space="preserve">1630.04.130</t>
  </si>
  <si>
    <t xml:space="preserve"> Lead Sheathed LV (≤ 1 kV) power cable, multicore, section 70 mm²</t>
  </si>
  <si>
    <t xml:space="preserve">1630.04.131</t>
  </si>
  <si>
    <t xml:space="preserve"> Lead Sheathed LV (≤ 1 kV) power cable, multicore, section 95 mm² </t>
  </si>
  <si>
    <t xml:space="preserve">1630.04.132</t>
  </si>
  <si>
    <t xml:space="preserve"> Lead Sheathed LV (≤ 1 kV) power cable, multicore, section 120 mm² </t>
  </si>
  <si>
    <t xml:space="preserve">1630.04.133</t>
  </si>
  <si>
    <t xml:space="preserve"> Lead Sheathed LV (≤ 1 kV) power cable, multicore, section 150 mm² </t>
  </si>
  <si>
    <t xml:space="preserve">1630.04.134</t>
  </si>
  <si>
    <t xml:space="preserve"> Lead Sheathed LV (≤ 1 kV) power cable, multicore, section 185 mm² </t>
  </si>
  <si>
    <t xml:space="preserve">1630.04.135</t>
  </si>
  <si>
    <t xml:space="preserve"> Lead Sheathed LV (≤ 1 kV) power cable, multicore, section 240 mm² </t>
  </si>
  <si>
    <t xml:space="preserve">1630.04.141</t>
  </si>
  <si>
    <t xml:space="preserve"> Lead Sheathed LV (≤ 1 kV) power cable, single core, section 300 mm² </t>
  </si>
  <si>
    <t xml:space="preserve">1630.04.142</t>
  </si>
  <si>
    <t xml:space="preserve"> Lead Sheathed LV (≤ 1 kV) power cable, single core, section 400 mm² </t>
  </si>
  <si>
    <t xml:space="preserve">1630.04.143</t>
  </si>
  <si>
    <t xml:space="preserve"> Lead Sheathed LV (≤ 1 kV) power cable, single core, section 500 mm² </t>
  </si>
  <si>
    <t xml:space="preserve">1630.04.144</t>
  </si>
  <si>
    <t xml:space="preserve"> Lead Sheathed LV (≤ 1 kV) power cable, single core, section 630 mm² </t>
  </si>
  <si>
    <t xml:space="preserve">1630.04.145</t>
  </si>
  <si>
    <t xml:space="preserve"> Lead Sheathed LV (≤ 1 kV) power cable, single core, section 800 mm² </t>
  </si>
  <si>
    <t xml:space="preserve">1630.04.146</t>
  </si>
  <si>
    <t xml:space="preserve"> Lead Sheathed LV (≤ 1 kV) power cable, single core, section 1000 mm² </t>
  </si>
  <si>
    <t xml:space="preserve">1630.04.151</t>
  </si>
  <si>
    <t xml:space="preserve"> Lead Sheathed LV (≤ 1 kV) control cable, section 1.5 - 2.5 mm², 3 to 5 cores </t>
  </si>
  <si>
    <t xml:space="preserve">1630.04.152</t>
  </si>
  <si>
    <t xml:space="preserve"> Lead Sheathed LV (≤ 1 kV) control cable, section 1.5 - 2.5 mm², 6 to 7 cores </t>
  </si>
  <si>
    <t xml:space="preserve">1630.04.153</t>
  </si>
  <si>
    <t xml:space="preserve"> Lead Sheathed LV (≤ 1 kV) control cable, section 1.5 - 2.5 mm², 8 to 12 cores </t>
  </si>
  <si>
    <t xml:space="preserve">1630.04.154</t>
  </si>
  <si>
    <t xml:space="preserve"> Lead Sheathed LV (≤ 1 kV) control cable, section 1.5 - 2.5 mm², 13 to 19 cores </t>
  </si>
  <si>
    <t xml:space="preserve">1630.04.155</t>
  </si>
  <si>
    <t xml:space="preserve"> Lead Sheathed LV (≤ 1 kV) control cable, section 1.5 - 2.5 mm², 20 to 27 cores </t>
  </si>
  <si>
    <t xml:space="preserve">1630.04.156</t>
  </si>
  <si>
    <t xml:space="preserve"> Lead Sheathed LV (≤ 1 kV) control cable, section 1.5 - 2.5 mm², 28 to 37 cores </t>
  </si>
  <si>
    <t xml:space="preserve">1630.04.157</t>
  </si>
  <si>
    <t xml:space="preserve"> Lead Sheathed LV (≤ 1 kV) control cable, section 1.5 - 2.5 mm², 38 to 48 cores </t>
  </si>
  <si>
    <t xml:space="preserve">1630.04.161</t>
  </si>
  <si>
    <t xml:space="preserve"> Lead Sheathed Signal cable, overall shield, section 0.5 - 1.5 mm², single pair / triples </t>
  </si>
  <si>
    <t xml:space="preserve">1630.04.162</t>
  </si>
  <si>
    <t xml:space="preserve"> Lead Sheathed Signal cable, overall shield, section 0.5 - 1.5 mm², 2 to 6 pairs </t>
  </si>
  <si>
    <t xml:space="preserve">1630.04.163</t>
  </si>
  <si>
    <t xml:space="preserve"> Lead Sheathed Signal cable, overall shield, section 0.5 - 1.5 mm², 7 to 12 pairs </t>
  </si>
  <si>
    <t xml:space="preserve">1630.04.164</t>
  </si>
  <si>
    <t xml:space="preserve"> Lead Sheathed Signal cable, overall shield, section 0.5 - 1.5 mm², 2 to 6 triples </t>
  </si>
  <si>
    <t xml:space="preserve">1630.04.165</t>
  </si>
  <si>
    <t xml:space="preserve"> Lead Sheathed Signal cable, overall shield, section 0.5 - 1.5 mm², 7 to 12 triples </t>
  </si>
  <si>
    <t xml:space="preserve">1630.04.166</t>
  </si>
  <si>
    <t xml:space="preserve"> Lead Sheathed Signal cable, overall + individual shield, section 0.5 - 1.5 mm², 2 to 6 pairs </t>
  </si>
  <si>
    <t xml:space="preserve">1630.04.167</t>
  </si>
  <si>
    <t xml:space="preserve"> Lead Sheathed Signal cable, overall + individual shield, section 0.5 - 1.5 mm², 7 to 12 pairs </t>
  </si>
  <si>
    <t xml:space="preserve">1630.04.168</t>
  </si>
  <si>
    <t xml:space="preserve"> Lead Sheathed Signal cable, overall + individual shield, section 0.5 - 1.5 mm², 2 to 6 triples </t>
  </si>
  <si>
    <t xml:space="preserve">1630.04.169</t>
  </si>
  <si>
    <t xml:space="preserve"> Lead Sheathed Signal cable, overall + individual shield, section 0.5 - 1.5 mm², 7 to 12 triples </t>
  </si>
  <si>
    <t xml:space="preserve">1630.04.171</t>
  </si>
  <si>
    <t xml:space="preserve"> Lead Sheathed Fiber optic cable, 4 - 6 strands </t>
  </si>
  <si>
    <t xml:space="preserve">1630.04.172</t>
  </si>
  <si>
    <t xml:space="preserve"> Lead Sheathed Fiber optic cable, 12 strands </t>
  </si>
  <si>
    <t xml:space="preserve">1630.04.173</t>
  </si>
  <si>
    <t xml:space="preserve"> Lead Sheathed Fiber optic cable, 24 strands </t>
  </si>
  <si>
    <t xml:space="preserve">1630.05</t>
  </si>
  <si>
    <t xml:space="preserve">INSTALLATION OF CABLES - IN UNDERGROUND DUCTS</t>
  </si>
  <si>
    <t xml:space="preserve">1630.05.01</t>
  </si>
  <si>
    <t xml:space="preserve">1630.05.02</t>
  </si>
  <si>
    <t xml:space="preserve">1630.05.03</t>
  </si>
  <si>
    <t xml:space="preserve">1630.05.04</t>
  </si>
  <si>
    <t xml:space="preserve">1630.05.05</t>
  </si>
  <si>
    <t xml:space="preserve">1630.05.06</t>
  </si>
  <si>
    <t xml:space="preserve">1630.05.07</t>
  </si>
  <si>
    <t xml:space="preserve">1630.05.11</t>
  </si>
  <si>
    <t xml:space="preserve">1630.05.12</t>
  </si>
  <si>
    <t xml:space="preserve">1630.05.13</t>
  </si>
  <si>
    <t xml:space="preserve">1630.05.14</t>
  </si>
  <si>
    <t xml:space="preserve">1630.05.15</t>
  </si>
  <si>
    <t xml:space="preserve">1630.05.16</t>
  </si>
  <si>
    <t xml:space="preserve">1630.05.17</t>
  </si>
  <si>
    <t xml:space="preserve">1630.05.21</t>
  </si>
  <si>
    <t xml:space="preserve">1630.05.22</t>
  </si>
  <si>
    <t xml:space="preserve">1630.05.23</t>
  </si>
  <si>
    <t xml:space="preserve">1630.05.24</t>
  </si>
  <si>
    <t xml:space="preserve">1630.05.25</t>
  </si>
  <si>
    <t xml:space="preserve">1630.05.26</t>
  </si>
  <si>
    <t xml:space="preserve">1630.05.27</t>
  </si>
  <si>
    <t xml:space="preserve">1630.05.28</t>
  </si>
  <si>
    <t xml:space="preserve">1630.05.29</t>
  </si>
  <si>
    <t xml:space="preserve">1630.05.30</t>
  </si>
  <si>
    <t xml:space="preserve">1630.05.31</t>
  </si>
  <si>
    <t xml:space="preserve">1630.05.32</t>
  </si>
  <si>
    <t xml:space="preserve">1630.05.33</t>
  </si>
  <si>
    <t xml:space="preserve">1630.05.34</t>
  </si>
  <si>
    <t xml:space="preserve">1630.05.35</t>
  </si>
  <si>
    <t xml:space="preserve">1630.05.41</t>
  </si>
  <si>
    <t xml:space="preserve">1630.05.42</t>
  </si>
  <si>
    <t xml:space="preserve">1630.05.43</t>
  </si>
  <si>
    <t xml:space="preserve">1630.05.44</t>
  </si>
  <si>
    <t xml:space="preserve">1630.05.45</t>
  </si>
  <si>
    <t xml:space="preserve">1630.05.46</t>
  </si>
  <si>
    <t xml:space="preserve">1630.05.51</t>
  </si>
  <si>
    <t xml:space="preserve">1630.05.52</t>
  </si>
  <si>
    <t xml:space="preserve">1630.05.53</t>
  </si>
  <si>
    <t xml:space="preserve">1630.05.54</t>
  </si>
  <si>
    <t xml:space="preserve">1630.05.55</t>
  </si>
  <si>
    <t xml:space="preserve">1630.05.56</t>
  </si>
  <si>
    <t xml:space="preserve">1630.05.57</t>
  </si>
  <si>
    <t xml:space="preserve">1630.05.61</t>
  </si>
  <si>
    <t xml:space="preserve">1630.05.62</t>
  </si>
  <si>
    <t xml:space="preserve">1630.05.63</t>
  </si>
  <si>
    <t xml:space="preserve">1630.05.64</t>
  </si>
  <si>
    <t xml:space="preserve">1630.05.65</t>
  </si>
  <si>
    <t xml:space="preserve">1630.05.66</t>
  </si>
  <si>
    <t xml:space="preserve">1630.05.67</t>
  </si>
  <si>
    <t xml:space="preserve">1630.05.68</t>
  </si>
  <si>
    <t xml:space="preserve">1630.05.69</t>
  </si>
  <si>
    <t xml:space="preserve">1630.05.71</t>
  </si>
  <si>
    <t xml:space="preserve">1630.05.72</t>
  </si>
  <si>
    <t xml:space="preserve">1630.05.73</t>
  </si>
  <si>
    <t xml:space="preserve">1630.05.81</t>
  </si>
  <si>
    <t xml:space="preserve">1630.05.82</t>
  </si>
  <si>
    <t xml:space="preserve">1630.06</t>
  </si>
  <si>
    <t xml:space="preserve">INSTALLATION OF CABLES - IN CABLE TRAYS / LADDERS</t>
  </si>
  <si>
    <t xml:space="preserve">1630.06.01</t>
  </si>
  <si>
    <t xml:space="preserve">1630.06.02</t>
  </si>
  <si>
    <t xml:space="preserve">1630.06.03</t>
  </si>
  <si>
    <t xml:space="preserve">1630.06.04</t>
  </si>
  <si>
    <t xml:space="preserve">1630.06.05</t>
  </si>
  <si>
    <t xml:space="preserve">1630.06.06</t>
  </si>
  <si>
    <t xml:space="preserve">1630.06.07</t>
  </si>
  <si>
    <t xml:space="preserve">1630.06.11</t>
  </si>
  <si>
    <t xml:space="preserve">1630.06.12</t>
  </si>
  <si>
    <t xml:space="preserve">1630.06.13</t>
  </si>
  <si>
    <t xml:space="preserve">1630.06.14</t>
  </si>
  <si>
    <t xml:space="preserve">1630.06.15</t>
  </si>
  <si>
    <t xml:space="preserve">1630.06.16</t>
  </si>
  <si>
    <t xml:space="preserve">1630.06.17</t>
  </si>
  <si>
    <t xml:space="preserve">1630.06.21</t>
  </si>
  <si>
    <t xml:space="preserve">1630.06.22</t>
  </si>
  <si>
    <t xml:space="preserve">1630.06.23</t>
  </si>
  <si>
    <t xml:space="preserve">1630.06.24</t>
  </si>
  <si>
    <t xml:space="preserve">1630.06.25</t>
  </si>
  <si>
    <t xml:space="preserve">1630.06.26</t>
  </si>
  <si>
    <t xml:space="preserve">1630.06.27</t>
  </si>
  <si>
    <t xml:space="preserve">1630.06.28</t>
  </si>
  <si>
    <t xml:space="preserve">1630.06.29</t>
  </si>
  <si>
    <t xml:space="preserve">1630.06.30</t>
  </si>
  <si>
    <t xml:space="preserve">1630.06.31</t>
  </si>
  <si>
    <t xml:space="preserve">1630.06.32</t>
  </si>
  <si>
    <t xml:space="preserve">1630.06.33</t>
  </si>
  <si>
    <t xml:space="preserve">1630.06.34</t>
  </si>
  <si>
    <t xml:space="preserve">1630.06.35</t>
  </si>
  <si>
    <t xml:space="preserve">1630.06.41</t>
  </si>
  <si>
    <t xml:space="preserve">1630.06.42</t>
  </si>
  <si>
    <t xml:space="preserve">1630.06.43</t>
  </si>
  <si>
    <t xml:space="preserve">1630.06.44</t>
  </si>
  <si>
    <t xml:space="preserve">1630.06.45</t>
  </si>
  <si>
    <t xml:space="preserve">1630.06.46</t>
  </si>
  <si>
    <t xml:space="preserve">1630.06.51</t>
  </si>
  <si>
    <t xml:space="preserve">1630.06.52</t>
  </si>
  <si>
    <t xml:space="preserve">1630.06.53</t>
  </si>
  <si>
    <t xml:space="preserve">1630.06.54</t>
  </si>
  <si>
    <t xml:space="preserve">1630.06.55</t>
  </si>
  <si>
    <t xml:space="preserve">1630.06.56</t>
  </si>
  <si>
    <t xml:space="preserve">1630.06.57</t>
  </si>
  <si>
    <t xml:space="preserve">1630.06.61</t>
  </si>
  <si>
    <t xml:space="preserve">1630.06.62</t>
  </si>
  <si>
    <t xml:space="preserve">1630.06.63</t>
  </si>
  <si>
    <t xml:space="preserve">1630.06.64</t>
  </si>
  <si>
    <t xml:space="preserve">1630.06.65</t>
  </si>
  <si>
    <t xml:space="preserve">1630.06.66</t>
  </si>
  <si>
    <t xml:space="preserve">1630.06.67</t>
  </si>
  <si>
    <t xml:space="preserve">1630.06.68</t>
  </si>
  <si>
    <t xml:space="preserve">1630.06.69</t>
  </si>
  <si>
    <t xml:space="preserve">1630.06.71</t>
  </si>
  <si>
    <t xml:space="preserve">1630.06.72</t>
  </si>
  <si>
    <t xml:space="preserve">1630.06.73</t>
  </si>
  <si>
    <t xml:space="preserve">1630.06.81</t>
  </si>
  <si>
    <t xml:space="preserve">1630.06.82</t>
  </si>
  <si>
    <t xml:space="preserve">1630.07</t>
  </si>
  <si>
    <t xml:space="preserve">CONNECTION OF CABLES</t>
  </si>
  <si>
    <t xml:space="preserve">1630.07.01</t>
  </si>
  <si>
    <t xml:space="preserve">1630.07.02</t>
  </si>
  <si>
    <t xml:space="preserve">1630.07.03</t>
  </si>
  <si>
    <t xml:space="preserve">1630.07.04</t>
  </si>
  <si>
    <t xml:space="preserve">1630.07.05</t>
  </si>
  <si>
    <t xml:space="preserve">1630.07.06</t>
  </si>
  <si>
    <t xml:space="preserve">1630.07.07</t>
  </si>
  <si>
    <t xml:space="preserve">1630.07.11</t>
  </si>
  <si>
    <t xml:space="preserve">1630.07.12</t>
  </si>
  <si>
    <t xml:space="preserve">1630.07.13</t>
  </si>
  <si>
    <t xml:space="preserve">1630.07.14</t>
  </si>
  <si>
    <t xml:space="preserve">1630.07.15</t>
  </si>
  <si>
    <t xml:space="preserve">1630.07.16</t>
  </si>
  <si>
    <t xml:space="preserve">1630.07.17</t>
  </si>
  <si>
    <t xml:space="preserve">1630.07.21</t>
  </si>
  <si>
    <t xml:space="preserve">1630.07.22</t>
  </si>
  <si>
    <t xml:space="preserve">1630.07.23</t>
  </si>
  <si>
    <t xml:space="preserve">1630.07.24</t>
  </si>
  <si>
    <t xml:space="preserve">1630.07.25</t>
  </si>
  <si>
    <t xml:space="preserve">1630.07.26</t>
  </si>
  <si>
    <t xml:space="preserve">1630.07.27</t>
  </si>
  <si>
    <t xml:space="preserve">1630.07.28</t>
  </si>
  <si>
    <t xml:space="preserve">1630.07.29</t>
  </si>
  <si>
    <t xml:space="preserve">1630.07.30</t>
  </si>
  <si>
    <t xml:space="preserve">1630.07.31</t>
  </si>
  <si>
    <t xml:space="preserve">1630.07.32</t>
  </si>
  <si>
    <t xml:space="preserve">1630.07.33</t>
  </si>
  <si>
    <t xml:space="preserve">1630.07.34</t>
  </si>
  <si>
    <t xml:space="preserve">1630.07.35</t>
  </si>
  <si>
    <t xml:space="preserve">1630.07.41</t>
  </si>
  <si>
    <t xml:space="preserve">1630.07.42</t>
  </si>
  <si>
    <t xml:space="preserve">1630.07.43</t>
  </si>
  <si>
    <t xml:space="preserve">1630.07.44</t>
  </si>
  <si>
    <t xml:space="preserve">1630.07.45</t>
  </si>
  <si>
    <t xml:space="preserve">1630.07.46</t>
  </si>
  <si>
    <t xml:space="preserve">1630.07.51</t>
  </si>
  <si>
    <t xml:space="preserve">1630.07.52</t>
  </si>
  <si>
    <t xml:space="preserve">1630.07.53</t>
  </si>
  <si>
    <t xml:space="preserve">1630.07.54</t>
  </si>
  <si>
    <t xml:space="preserve">1630.07.55</t>
  </si>
  <si>
    <t xml:space="preserve">1630.07.56</t>
  </si>
  <si>
    <t xml:space="preserve">1630.07.57</t>
  </si>
  <si>
    <t xml:space="preserve">1630.07.61</t>
  </si>
  <si>
    <t xml:space="preserve">1630.07.62</t>
  </si>
  <si>
    <t xml:space="preserve">1630.07.63</t>
  </si>
  <si>
    <t xml:space="preserve">1630.07.64</t>
  </si>
  <si>
    <t xml:space="preserve">1630.07.65</t>
  </si>
  <si>
    <t xml:space="preserve">1630.07.66</t>
  </si>
  <si>
    <t xml:space="preserve">1630.07.67</t>
  </si>
  <si>
    <t xml:space="preserve">1630.07.68</t>
  </si>
  <si>
    <t xml:space="preserve">1630.07.69</t>
  </si>
  <si>
    <t xml:space="preserve">1630.07.71</t>
  </si>
  <si>
    <t xml:space="preserve">1630.07.72</t>
  </si>
  <si>
    <t xml:space="preserve">1630.07.73</t>
  </si>
  <si>
    <t xml:space="preserve">1630.07.74</t>
  </si>
  <si>
    <t xml:space="preserve">1630.07.75</t>
  </si>
  <si>
    <t xml:space="preserve">1630.07.76</t>
  </si>
  <si>
    <t xml:space="preserve">1630.07.81</t>
  </si>
  <si>
    <t xml:space="preserve">1630.07.82</t>
  </si>
  <si>
    <t xml:space="preserve">1630.08</t>
  </si>
  <si>
    <t xml:space="preserve">CONTROL STATION INSTALLATION </t>
  </si>
  <si>
    <t xml:space="preserve">1630.08.01</t>
  </si>
  <si>
    <t xml:space="preserve"> Start/stop pushbuttons or selector switch</t>
  </si>
  <si>
    <t xml:space="preserve">1630.08.02</t>
  </si>
  <si>
    <t xml:space="preserve"> Start/stop pushbuttons or selector switch plus ammeter</t>
  </si>
  <si>
    <t xml:space="preserve">1630.08.03</t>
  </si>
  <si>
    <t xml:space="preserve"> Emergency stop pushbutton or Safety Switch</t>
  </si>
  <si>
    <t xml:space="preserve">1630.09</t>
  </si>
  <si>
    <t xml:space="preserve">POWER OUTLETS INSTALLATION</t>
  </si>
  <si>
    <t xml:space="preserve">1630.09.01</t>
  </si>
  <si>
    <t xml:space="preserve"> Three phase / three phase plus neutral, ≤ 32 A</t>
  </si>
  <si>
    <t xml:space="preserve">1630.09.02</t>
  </si>
  <si>
    <t xml:space="preserve"> Three phase / three phase plus neutral, 63 A</t>
  </si>
  <si>
    <t xml:space="preserve">1630.09.03</t>
  </si>
  <si>
    <t xml:space="preserve"> Three phase / three phase plus neutral, &gt; 63 A</t>
  </si>
  <si>
    <t xml:space="preserve">1630.10</t>
  </si>
  <si>
    <t xml:space="preserve">EXECUTION OF UNDERGROUND JOINT</t>
  </si>
  <si>
    <t xml:space="preserve">1630.10.01</t>
  </si>
  <si>
    <t xml:space="preserve">1630.10.02</t>
  </si>
  <si>
    <t xml:space="preserve">1630.10.03</t>
  </si>
  <si>
    <t xml:space="preserve">1630.10.04</t>
  </si>
  <si>
    <t xml:space="preserve">1630.10.05</t>
  </si>
  <si>
    <t xml:space="preserve">1630.10.06</t>
  </si>
  <si>
    <t xml:space="preserve">1630.10.07</t>
  </si>
  <si>
    <t xml:space="preserve">1630.10.11</t>
  </si>
  <si>
    <t xml:space="preserve">1630.10.12</t>
  </si>
  <si>
    <t xml:space="preserve">1630.10.13</t>
  </si>
  <si>
    <t xml:space="preserve">1630.10.14</t>
  </si>
  <si>
    <t xml:space="preserve">1630.10.15</t>
  </si>
  <si>
    <t xml:space="preserve">1630.10.16</t>
  </si>
  <si>
    <t xml:space="preserve">1630.10.17</t>
  </si>
  <si>
    <t xml:space="preserve">1630.11</t>
  </si>
  <si>
    <t xml:space="preserve">JUNCTION BOX INSTALLATION</t>
  </si>
  <si>
    <t xml:space="preserve">1630.11.01</t>
  </si>
  <si>
    <t xml:space="preserve"> Volume ≤ 10 dm³</t>
  </si>
  <si>
    <t xml:space="preserve">1630.11.02</t>
  </si>
  <si>
    <t xml:space="preserve"> Volume 10.1 - 25 dm³</t>
  </si>
  <si>
    <t xml:space="preserve">1630.11.03</t>
  </si>
  <si>
    <t xml:space="preserve"> Volume 25.1 - 50 dm³</t>
  </si>
  <si>
    <t xml:space="preserve">1630.11.04</t>
  </si>
  <si>
    <t xml:space="preserve"> Volume 50.1 - 80 dm³</t>
  </si>
  <si>
    <t xml:space="preserve">1630.11.05</t>
  </si>
  <si>
    <t xml:space="preserve"> Volume 80.1 - 130 dm³</t>
  </si>
  <si>
    <t xml:space="preserve">1630.12</t>
  </si>
  <si>
    <t xml:space="preserve">VARIOUS EQUIPMENT INSTALLATION</t>
  </si>
  <si>
    <t xml:space="preserve">1630.12.01</t>
  </si>
  <si>
    <t xml:space="preserve"> Static earthing device</t>
  </si>
  <si>
    <t xml:space="preserve">1630.12.02</t>
  </si>
  <si>
    <t xml:space="preserve"> Disconnect switch, ...... V, ...... A</t>
  </si>
  <si>
    <t xml:space="preserve">1630.12.03</t>
  </si>
  <si>
    <t xml:space="preserve"> Enclosed circuit breaker, ...... V, ...... A</t>
  </si>
  <si>
    <t xml:space="preserve">1630.12.04</t>
  </si>
  <si>
    <t xml:space="preserve"> Enclosed motor starter, ...... V, ...... A</t>
  </si>
  <si>
    <t xml:space="preserve">1630.12.05</t>
  </si>
  <si>
    <t xml:space="preserve"> Instrument housing, volume ...... dm³</t>
  </si>
  <si>
    <t xml:space="preserve">1630.12.06</t>
  </si>
  <si>
    <t xml:space="preserve"> Pressurized equipment enclosure, ..... x ..... x ..... mm (L x D x H)</t>
  </si>
  <si>
    <t xml:space="preserve">1630.12.07</t>
  </si>
  <si>
    <t xml:space="preserve"> Switchrack, length x height ..... x ....., ..... A</t>
  </si>
  <si>
    <t xml:space="preserve">1630.12.08</t>
  </si>
  <si>
    <t xml:space="preserve"> Photovoltaic module, ... Wp</t>
  </si>
  <si>
    <t xml:space="preserve">1630.12.09</t>
  </si>
  <si>
    <t xml:space="preserve"> Prefabricated substation module, ..... x ..... x ..... mm (L x D x H)</t>
  </si>
  <si>
    <t xml:space="preserve">1630.12.10</t>
  </si>
  <si>
    <t xml:space="preserve">Local Distribution Panel</t>
  </si>
  <si>
    <t xml:space="preserve">1630.13</t>
  </si>
  <si>
    <t xml:space="preserve">FIRESTOP INSTALLATION</t>
  </si>
  <si>
    <t xml:space="preserve">1630.13.01</t>
  </si>
  <si>
    <t xml:space="preserve"> Cable tray wall penetration, 450 - 750 mm width</t>
  </si>
  <si>
    <t xml:space="preserve">1630.13.02</t>
  </si>
  <si>
    <t xml:space="preserve"> Cable tray wall penetration, 900 - 1200 mm width</t>
  </si>
  <si>
    <t xml:space="preserve">1630.13.11</t>
  </si>
  <si>
    <t xml:space="preserve"> Duct bank firestop barrier, for no. ...... ducts ....... mm diameter</t>
  </si>
  <si>
    <t xml:space="preserve">   SYSTEM 1640 - HIGH VOLTAGE EQUIPMENT</t>
  </si>
  <si>
    <t xml:space="preserve">1640.01</t>
  </si>
  <si>
    <t xml:space="preserve">H.V. POWER LINES INSTALLATION AND CONNECTION</t>
  </si>
  <si>
    <t xml:space="preserve">1640.01.01</t>
  </si>
  <si>
    <t xml:space="preserve"> HV (… kV) line, 3 single core cables, directly buried, section 400 - 630 mm²</t>
  </si>
  <si>
    <t xml:space="preserve">1640.01.02</t>
  </si>
  <si>
    <t xml:space="preserve"> HV (… kV) line, 3 single core cables, directly buried, section 800 - 1200 mm²</t>
  </si>
  <si>
    <t xml:space="preserve">1640.01.03</t>
  </si>
  <si>
    <t xml:space="preserve"> HV (… kV) line, 3 single core cables, in duct bank, section 400 - 630 mm²</t>
  </si>
  <si>
    <t xml:space="preserve">1640.01.04</t>
  </si>
  <si>
    <t xml:space="preserve"> HV (… kV) line, 3 single core cables, in duct bank, section 800 - 1200 mm²</t>
  </si>
  <si>
    <t xml:space="preserve">1640.02</t>
  </si>
  <si>
    <t xml:space="preserve">H.V. SUBSTATIONS INSTALLATION AND CONNECTION</t>
  </si>
  <si>
    <t xml:space="preserve">1640.02.01</t>
  </si>
  <si>
    <t xml:space="preserve"> HV gantry - … kV</t>
  </si>
  <si>
    <t xml:space="preserve">1640.02.11</t>
  </si>
  <si>
    <t xml:space="preserve"> Aerial outdoor switchyard bay - … kV </t>
  </si>
  <si>
    <t xml:space="preserve">1640.02.21</t>
  </si>
  <si>
    <t xml:space="preserve"> Gas insulated bay - … kV </t>
  </si>
  <si>
    <t xml:space="preserve">1640.02.41</t>
  </si>
  <si>
    <t xml:space="preserve"> Gas insulated bus duct installation and connection at both ends - … kV (3 phases / 3 single phase)</t>
  </si>
  <si>
    <t xml:space="preserve">1640.02.51</t>
  </si>
  <si>
    <t xml:space="preserve"> HV (… kV) cable termination and plug-in connection</t>
  </si>
  <si>
    <t xml:space="preserve">1640.02.52</t>
  </si>
  <si>
    <t xml:space="preserve"> HV (… kV) cable termination and connection to gas insulated aerial bushing</t>
  </si>
  <si>
    <t xml:space="preserve">1640.02.71</t>
  </si>
  <si>
    <t xml:space="preserve"> HV bay protective relay panel</t>
  </si>
  <si>
    <t xml:space="preserve">1640.02.72</t>
  </si>
  <si>
    <t xml:space="preserve"> HV bay control panel</t>
  </si>
  <si>
    <t xml:space="preserve">   SYSTEM 1650 - ELECTRICAL HEAT TRACING SYSTEM</t>
  </si>
  <si>
    <t xml:space="preserve">1650.01</t>
  </si>
  <si>
    <t xml:space="preserve">INSTALLATION OF LOCAL DISTRIBUTION PANEL</t>
  </si>
  <si>
    <t xml:space="preserve">1650.01.01</t>
  </si>
  <si>
    <t xml:space="preserve"> Local distribution panel - 6 circuits</t>
  </si>
  <si>
    <t xml:space="preserve">1650.01.02</t>
  </si>
  <si>
    <t xml:space="preserve"> Local distribution panel - 12 circuits</t>
  </si>
  <si>
    <t xml:space="preserve">1650.01.03</t>
  </si>
  <si>
    <t xml:space="preserve"> Local distribution panel - 18 circuits</t>
  </si>
  <si>
    <t xml:space="preserve">1650.01.04</t>
  </si>
  <si>
    <t xml:space="preserve"> Local distribution panel - 24 circuits</t>
  </si>
  <si>
    <t xml:space="preserve">1650.01.05</t>
  </si>
  <si>
    <t xml:space="preserve"> Local distribution panel - 36+ circuits</t>
  </si>
  <si>
    <t xml:space="preserve">1650.01.11</t>
  </si>
  <si>
    <t xml:space="preserve"> Local distribution panel with transformer ≤ ..... kVA - 6 circuits</t>
  </si>
  <si>
    <t xml:space="preserve">1650.01.12</t>
  </si>
  <si>
    <t xml:space="preserve"> Local distribution panel with transformer ≤ ..... kVA - 12 circuits</t>
  </si>
  <si>
    <t xml:space="preserve">1650.01.13</t>
  </si>
  <si>
    <t xml:space="preserve"> Local distribution panel with transformer ≤ ..... kVA - 18 circuits</t>
  </si>
  <si>
    <t xml:space="preserve">1650.01.14</t>
  </si>
  <si>
    <t xml:space="preserve"> Local distribution panel with transformer ≤ ..... kVA - 24 circuits</t>
  </si>
  <si>
    <t xml:space="preserve">1650.01.15</t>
  </si>
  <si>
    <t xml:space="preserve"> Local distribution panel with transformer ≤ ..... kVA - 36+ circuits</t>
  </si>
  <si>
    <t xml:space="preserve">1650.02</t>
  </si>
  <si>
    <t xml:space="preserve">INSTALLATION OF MAIN JUNCTION BOX</t>
  </si>
  <si>
    <t xml:space="preserve">1650.02.01</t>
  </si>
  <si>
    <t xml:space="preserve">1650.02.02</t>
  </si>
  <si>
    <t xml:space="preserve">1650.02.03</t>
  </si>
  <si>
    <t xml:space="preserve">1650.03</t>
  </si>
  <si>
    <t xml:space="preserve">CABLE WAY INSTALLATION AND CONNECTION</t>
  </si>
  <si>
    <t xml:space="preserve">1650.03.01</t>
  </si>
  <si>
    <t xml:space="preserve"> Open conduit / tray + multicore cable system</t>
  </si>
  <si>
    <t xml:space="preserve">1650.03.11</t>
  </si>
  <si>
    <t xml:space="preserve"> Closed conduit + single wires system</t>
  </si>
  <si>
    <t xml:space="preserve">1650.04</t>
  </si>
  <si>
    <t xml:space="preserve">HEATING CABLES INSTALLATION</t>
  </si>
  <si>
    <t xml:space="preserve">1650.04.01</t>
  </si>
  <si>
    <t xml:space="preserve"> Self regulating type</t>
  </si>
  <si>
    <t xml:space="preserve">1650.04.02</t>
  </si>
  <si>
    <t xml:space="preserve"> Power limiting type</t>
  </si>
  <si>
    <t xml:space="preserve">1650.04.03</t>
  </si>
  <si>
    <t xml:space="preserve"> Constant wattage type</t>
  </si>
  <si>
    <t xml:space="preserve">1650.04.04</t>
  </si>
  <si>
    <t xml:space="preserve"> Polymer insulated type</t>
  </si>
  <si>
    <t xml:space="preserve">1650.04.05</t>
  </si>
  <si>
    <t xml:space="preserve"> Mineral insulated type</t>
  </si>
  <si>
    <t xml:space="preserve">1650.04.06</t>
  </si>
  <si>
    <t xml:space="preserve"> Skin effect type</t>
  </si>
  <si>
    <t xml:space="preserve">1650.04.11</t>
  </si>
  <si>
    <t xml:space="preserve"> End seal - Self regulating type</t>
  </si>
  <si>
    <t xml:space="preserve">1650.04.12</t>
  </si>
  <si>
    <t xml:space="preserve"> End seal - Power limiting type</t>
  </si>
  <si>
    <t xml:space="preserve">1650.04.13</t>
  </si>
  <si>
    <t xml:space="preserve"> End seal - Constant wattage type</t>
  </si>
  <si>
    <t xml:space="preserve">1650.04.14</t>
  </si>
  <si>
    <t xml:space="preserve"> End seal - Polymer insulated type</t>
  </si>
  <si>
    <t xml:space="preserve">1650.04.15</t>
  </si>
  <si>
    <t xml:space="preserve"> End seal - Mineral insulated type</t>
  </si>
  <si>
    <t xml:space="preserve">1650.04.16</t>
  </si>
  <si>
    <t xml:space="preserve"> End seal - Skin effect type</t>
  </si>
  <si>
    <t xml:space="preserve">1650.04.21</t>
  </si>
  <si>
    <t xml:space="preserve"> Splice/Tee - Self regulating type</t>
  </si>
  <si>
    <t xml:space="preserve">1650.04.22</t>
  </si>
  <si>
    <t xml:space="preserve"> Splice/Tee - Power limiting type</t>
  </si>
  <si>
    <t xml:space="preserve">1650.04.23</t>
  </si>
  <si>
    <t xml:space="preserve"> Splice/Tee - Constant wattage type</t>
  </si>
  <si>
    <t xml:space="preserve">1650.04.24</t>
  </si>
  <si>
    <t xml:space="preserve"> Splice/Tee - Polymer insulated type</t>
  </si>
  <si>
    <t xml:space="preserve">1650.04.25</t>
  </si>
  <si>
    <t xml:space="preserve"> Splice/Tee - Mineral insulated type</t>
  </si>
  <si>
    <t xml:space="preserve">1650.04.26</t>
  </si>
  <si>
    <t xml:space="preserve"> Splice/Tee - Skin effect type</t>
  </si>
  <si>
    <t xml:space="preserve">1650.05</t>
  </si>
  <si>
    <t xml:space="preserve">INSTALLATION AND CONNECTION OF TEMPERATURE SWITCH</t>
  </si>
  <si>
    <t xml:space="preserve">1650.05.01</t>
  </si>
  <si>
    <t xml:space="preserve"> Open conduit / tray + multicore cable system - Thermostat</t>
  </si>
  <si>
    <t xml:space="preserve">1650.05.02</t>
  </si>
  <si>
    <t xml:space="preserve"> Open conduit / tray + multicore cable system - Resistance temperature detector</t>
  </si>
  <si>
    <t xml:space="preserve">1650.05.03</t>
  </si>
  <si>
    <t xml:space="preserve"> Open conduit / tray + multicore cable system - Remote field monitoring module</t>
  </si>
  <si>
    <t xml:space="preserve">1650.05.11</t>
  </si>
  <si>
    <t xml:space="preserve"> Closed conduit + single wires system - Thermostat</t>
  </si>
  <si>
    <t xml:space="preserve">1650.05.12</t>
  </si>
  <si>
    <t xml:space="preserve"> Closed conduit + single wires system - Resistance temperature detector</t>
  </si>
  <si>
    <t xml:space="preserve">1650.05.13</t>
  </si>
  <si>
    <t xml:space="preserve"> Closed conduit + single wires system - Remote field monitoring module</t>
  </si>
  <si>
    <t xml:space="preserve">1650.06</t>
  </si>
  <si>
    <t xml:space="preserve">INSTALLATION AND WELDING OF SKIN EFFECT HEAT TUBING</t>
  </si>
  <si>
    <t xml:space="preserve">1650.06.01</t>
  </si>
  <si>
    <t xml:space="preserve"> Heat tube installation and welding/strapping on main pipe</t>
  </si>
  <si>
    <t xml:space="preserve">   SYSTEM 1670 . CATHODIC PROTECTION SYSTEM</t>
  </si>
  <si>
    <t xml:space="preserve">1670.01</t>
  </si>
  <si>
    <t xml:space="preserve">INSTALLATION OF POWER SUPPLY UNIT</t>
  </si>
  <si>
    <t xml:space="preserve">1670.01.01</t>
  </si>
  <si>
    <t xml:space="preserve"> Transformer rectifier, oil immersed, ...... V - ...... A</t>
  </si>
  <si>
    <t xml:space="preserve">1670.01.02</t>
  </si>
  <si>
    <t xml:space="preserve"> Transformer rectifier, dry type, ...... V - ...... A</t>
  </si>
  <si>
    <t xml:space="preserve">1670.02</t>
  </si>
  <si>
    <t xml:space="preserve">INSTALLATION OF ANODES</t>
  </si>
  <si>
    <t xml:space="preserve">1670.02.01</t>
  </si>
  <si>
    <t xml:space="preserve"> Impressed current system - Cylindrical - Pre-packaged silicon iron, L = .... m, Ø = .... mm</t>
  </si>
  <si>
    <t xml:space="preserve">1670.02.02</t>
  </si>
  <si>
    <t xml:space="preserve"> Impressed current system - Ribbon - Mixed metal oxide, width = .... mm</t>
  </si>
  <si>
    <t xml:space="preserve">1670.02.03</t>
  </si>
  <si>
    <t xml:space="preserve"> Impressed current system - Wire - Mixed metal oxide, width = .... mm</t>
  </si>
  <si>
    <t xml:space="preserve">1670.02.04</t>
  </si>
  <si>
    <t xml:space="preserve"> Galvanic system - Cylindrical - Magnesium, L = .... m, Ø = ..... mm</t>
  </si>
  <si>
    <t xml:space="preserve">1670.02.05</t>
  </si>
  <si>
    <t xml:space="preserve"> Galvanic system - Ribbon - Zinc / Magnesium, width = .... mm</t>
  </si>
  <si>
    <t xml:space="preserve">1670.02.06</t>
  </si>
  <si>
    <t xml:space="preserve"> Galvanic system - Tank internals - Aluminum / Zinc / Magnesium, L = .... m, Ø = ..... mm</t>
  </si>
  <si>
    <t xml:space="preserve">1670.02.07</t>
  </si>
  <si>
    <t xml:space="preserve"> Zinc earthing cell</t>
  </si>
  <si>
    <t xml:space="preserve">1670.03</t>
  </si>
  <si>
    <t xml:space="preserve">INSTALLATION OF REFERENCE ELECTRODES</t>
  </si>
  <si>
    <t xml:space="preserve">1670.03.01</t>
  </si>
  <si>
    <t xml:space="preserve"> Permanent - Copper / Copper Sulfate</t>
  </si>
  <si>
    <t xml:space="preserve">1670.03.02</t>
  </si>
  <si>
    <t xml:space="preserve"> Permanent - Silver / Silver Chloride</t>
  </si>
  <si>
    <t xml:space="preserve">1670.04</t>
  </si>
  <si>
    <t xml:space="preserve">INSTALLATION OF TEST STATIONS</t>
  </si>
  <si>
    <t xml:space="preserve">1670.04.01</t>
  </si>
  <si>
    <t xml:space="preserve"> Test point, pipe mounting</t>
  </si>
  <si>
    <t xml:space="preserve">1670.04.02</t>
  </si>
  <si>
    <t xml:space="preserve"> Test point, flush mounting (soil access)</t>
  </si>
  <si>
    <t xml:space="preserve">1670.05</t>
  </si>
  <si>
    <t xml:space="preserve">INSTALLATION OF JUNCTION BOXES</t>
  </si>
  <si>
    <t xml:space="preserve">1670.05.01</t>
  </si>
  <si>
    <t xml:space="preserve">1670.05.02</t>
  </si>
  <si>
    <t xml:space="preserve">1670.05.03</t>
  </si>
  <si>
    <t xml:space="preserve">1670.06</t>
  </si>
  <si>
    <t xml:space="preserve">INSTALLATION OF ELECTRICAL CABLES (POSITIVE AND NEGATIVE)</t>
  </si>
  <si>
    <t xml:space="preserve">1670.06.01</t>
  </si>
  <si>
    <t xml:space="preserve"> Section 6 - 16 mm²</t>
  </si>
  <si>
    <t xml:space="preserve">1670.06.02</t>
  </si>
  <si>
    <t xml:space="preserve">   SYSTEM 1680 - LIGHTING SYSTEM</t>
  </si>
  <si>
    <t xml:space="preserve">1680.01</t>
  </si>
  <si>
    <t xml:space="preserve">1680.01.01</t>
  </si>
  <si>
    <t xml:space="preserve">1680.01.02</t>
  </si>
  <si>
    <t xml:space="preserve">1680.01.03</t>
  </si>
  <si>
    <t xml:space="preserve">1680.01.04</t>
  </si>
  <si>
    <t xml:space="preserve">1680.01.05</t>
  </si>
  <si>
    <t xml:space="preserve">1680.01.11</t>
  </si>
  <si>
    <t xml:space="preserve">1680.01.12</t>
  </si>
  <si>
    <t xml:space="preserve">1680.01.13</t>
  </si>
  <si>
    <t xml:space="preserve">1680.01.14</t>
  </si>
  <si>
    <t xml:space="preserve">1680.01.15</t>
  </si>
  <si>
    <t xml:space="preserve">1680.02</t>
  </si>
  <si>
    <t xml:space="preserve">1680.02.01</t>
  </si>
  <si>
    <t xml:space="preserve">1680.02.02</t>
  </si>
  <si>
    <t xml:space="preserve">1680.02.03</t>
  </si>
  <si>
    <t xml:space="preserve">1680.03</t>
  </si>
  <si>
    <t xml:space="preserve">LIGHTING FIXTURE AND CABLE WAY INSTALLATION AND CONNECTION</t>
  </si>
  <si>
    <t xml:space="preserve">1680.03.01</t>
  </si>
  <si>
    <t xml:space="preserve"> Open conduit / tray + multicore cable system - Pendant/Ceiling/Wall (bracket) mounting</t>
  </si>
  <si>
    <t xml:space="preserve">1680.03.02</t>
  </si>
  <si>
    <t xml:space="preserve"> Open conduit / tray + multicore cable system - Stanchion mounting</t>
  </si>
  <si>
    <t xml:space="preserve">1680.03.03</t>
  </si>
  <si>
    <t xml:space="preserve"> Open conduit / tray + multicore cable system - HID Floodlight</t>
  </si>
  <si>
    <t xml:space="preserve">1680.03.04</t>
  </si>
  <si>
    <t xml:space="preserve"> Open conduit / tray + multicore cable system - Fluorescent emergency light</t>
  </si>
  <si>
    <t xml:space="preserve">1680.03.05</t>
  </si>
  <si>
    <t xml:space="preserve"> Open conduit / tray + multicore cable system - Safety shower</t>
  </si>
  <si>
    <t xml:space="preserve">1680.03.11</t>
  </si>
  <si>
    <t xml:space="preserve"> Closed conduit + single wires system - Pendant/Ceiling/Wall (bracket) mounting</t>
  </si>
  <si>
    <t xml:space="preserve">1680.03.12</t>
  </si>
  <si>
    <t xml:space="preserve"> Closed conduit + single wires system - Stanchion mounting</t>
  </si>
  <si>
    <t xml:space="preserve">1680.03.13</t>
  </si>
  <si>
    <t xml:space="preserve"> Closed conduit + single wires system - HID Floodlight</t>
  </si>
  <si>
    <t xml:space="preserve">1680.03.14</t>
  </si>
  <si>
    <t xml:space="preserve"> Closed conduit + single wires system - Fluorescent emergency light</t>
  </si>
  <si>
    <t xml:space="preserve">1680.03.15</t>
  </si>
  <si>
    <t xml:space="preserve"> Closed conduit + single wires system - Safety shower</t>
  </si>
  <si>
    <t xml:space="preserve">1680.04</t>
  </si>
  <si>
    <t xml:space="preserve">INSTALLATION AND CONNECTION OF STREET LIGHTING POLE</t>
  </si>
  <si>
    <t xml:space="preserve">1680.04.01</t>
  </si>
  <si>
    <t xml:space="preserve"> Single arm, 7 - 9 m</t>
  </si>
  <si>
    <t xml:space="preserve">1680.04.02</t>
  </si>
  <si>
    <t xml:space="preserve"> Single arm, 10 - 12 m</t>
  </si>
  <si>
    <t xml:space="preserve">1680.04.03</t>
  </si>
  <si>
    <t xml:space="preserve"> Double arm, 7 - 9 m</t>
  </si>
  <si>
    <t xml:space="preserve">1680.04.04</t>
  </si>
  <si>
    <t xml:space="preserve"> Double arm, 10 - 12 m</t>
  </si>
  <si>
    <t xml:space="preserve">1680.05</t>
  </si>
  <si>
    <t xml:space="preserve">INSTALLATION AND CONNECTION OF LIGHTING TOWER</t>
  </si>
  <si>
    <t xml:space="preserve">1680.05.01</t>
  </si>
  <si>
    <t xml:space="preserve"> with fixed platform/crown, height 20 - 30 m, 3 - 6 projectors</t>
  </si>
  <si>
    <t xml:space="preserve">1680.05.02</t>
  </si>
  <si>
    <t xml:space="preserve"> with fixed platform/crown, height 20 - 30 m, 7 - 10 projectors</t>
  </si>
  <si>
    <t xml:space="preserve">1680.05.03</t>
  </si>
  <si>
    <t xml:space="preserve"> with fixed platform/crown, height 20 - 30 m, 11 - 15 projectors</t>
  </si>
  <si>
    <t xml:space="preserve">1680.05.11</t>
  </si>
  <si>
    <t xml:space="preserve"> with movable platform/crown, height 20 - 30 m, 3 - 6 projectors</t>
  </si>
  <si>
    <t xml:space="preserve">1680.05.12</t>
  </si>
  <si>
    <t xml:space="preserve"> with movable platform/crown, height 20 - 30 m, 7 - 10 projectors</t>
  </si>
  <si>
    <t xml:space="preserve">1680.05.13</t>
  </si>
  <si>
    <t xml:space="preserve"> with movable platform/crown, height 20 - 30 m, 11 - 15 projectors</t>
  </si>
  <si>
    <t xml:space="preserve">1680.06</t>
  </si>
  <si>
    <t xml:space="preserve">RECEPTACLE OUTLET AND CABLE WAY INSTALLATION AND CONNECTION</t>
  </si>
  <si>
    <t xml:space="preserve">1680.06.01</t>
  </si>
  <si>
    <t xml:space="preserve"> Open conduit / tray + multicore cable system, ≤ 20 A</t>
  </si>
  <si>
    <t xml:space="preserve">1680.06.11</t>
  </si>
  <si>
    <t xml:space="preserve"> Closed conduit + single wires system, ≤ 20 A</t>
  </si>
  <si>
    <t xml:space="preserve">1680.07</t>
  </si>
  <si>
    <t xml:space="preserve">LIGHTING LEVEL GAUGE AND CABLE WAY INSTALLATION AND CONNECTION</t>
  </si>
  <si>
    <t xml:space="preserve">1680.07.01</t>
  </si>
  <si>
    <t xml:space="preserve">1680.07.11</t>
  </si>
  <si>
    <t xml:space="preserve">1680.08</t>
  </si>
  <si>
    <t xml:space="preserve">AIRCRAFT WARNING LIGHTING SYSTEM AND CABLE WAY INST. AND CONNECTION</t>
  </si>
  <si>
    <t xml:space="preserve">1680.08.01</t>
  </si>
  <si>
    <t xml:space="preserve"> Distribution and control panel</t>
  </si>
  <si>
    <t xml:space="preserve">1680.08.11</t>
  </si>
  <si>
    <t xml:space="preserve"> Open conduit / tray + multicore cable system - Obstruction beacons</t>
  </si>
  <si>
    <t xml:space="preserve">1680.08.12</t>
  </si>
  <si>
    <t xml:space="preserve"> Closed conduit + single wires system - Obstruction beacons</t>
  </si>
  <si>
    <t xml:space="preserve">1680.08.21</t>
  </si>
  <si>
    <t xml:space="preserve"> Hanger system, height ..... m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</si>
</sst>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* #,##0.00\ _F_-;\-* #,##0.00\ _F_-;_-* \-??\ _F_-;_-@_-"/>
    <numFmt numFmtId="166" formatCode="_(* #,##0.00_);_(* \(#,##0.00\);_(* \-??_);_(@_)"/>
    <numFmt numFmtId="167" formatCode="0.000"/>
    <numFmt numFmtId="168" formatCode="#,##0"/>
    <numFmt numFmtId="169" formatCode="0"/>
    <numFmt numFmtId="170" formatCode="m/d/yyyy"/>
    <numFmt numFmtId="171" formatCode="0.00"/>
    <numFmt numFmtId="172" formatCode="_-* #,##0_-;\-* #,##0_-;_-* \-??_-;_-@_-"/>
    <numFmt numFmtId="173" formatCode="@"/>
    <numFmt numFmtId="174" formatCode="0_)"/>
    <numFmt numFmtId="175" formatCode="_(* #,##0_);_(* \(#,##0\);_(* \-??_);_(@_)"/>
    <numFmt numFmtId="176" formatCode="0;\-0;;@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20"/>
      <name val="Arial"/>
      <family val="2"/>
      <charset val="1"/>
    </font>
    <font>
      <sz val="6"/>
      <name val="Arial"/>
      <family val="2"/>
      <charset val="1"/>
    </font>
    <font>
      <b val="true"/>
      <sz val="16"/>
      <name val="Arial"/>
      <family val="2"/>
      <charset val="1"/>
    </font>
    <font>
      <sz val="14"/>
      <name val="Times New Roman"/>
      <family val="1"/>
      <charset val="1"/>
    </font>
    <font>
      <sz val="11"/>
      <color theme="1"/>
      <name val="Arial Narrow"/>
      <family val="2"/>
      <charset val="162"/>
    </font>
    <font>
      <sz val="10"/>
      <name val="Century Gothic"/>
      <family val="2"/>
      <charset val="1"/>
    </font>
    <font>
      <b val="true"/>
      <sz val="10"/>
      <name val="Century Gothic"/>
      <family val="2"/>
      <charset val="1"/>
    </font>
    <font>
      <b val="true"/>
      <sz val="11"/>
      <name val="Calibri"/>
      <family val="2"/>
      <charset val="1"/>
    </font>
    <font>
      <b val="true"/>
      <sz val="14"/>
      <color rgb="FFFF0000"/>
      <name val="Aptos Narrow"/>
      <family val="2"/>
      <charset val="1"/>
    </font>
    <font>
      <sz val="1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Arial Narrow"/>
      <family val="2"/>
      <charset val="162"/>
    </font>
    <font>
      <sz val="12"/>
      <name val="Arial"/>
      <family val="2"/>
      <charset val="1"/>
    </font>
    <font>
      <b val="true"/>
      <sz val="12"/>
      <name val="Calibri"/>
      <family val="2"/>
      <charset val="1"/>
    </font>
    <font>
      <b val="true"/>
      <sz val="11"/>
      <color theme="0"/>
      <name val="Arial Narrow"/>
      <family val="2"/>
      <charset val="162"/>
    </font>
    <font>
      <sz val="12"/>
      <color theme="1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002060"/>
        <bgColor rgb="FF000080"/>
      </patternFill>
    </fill>
    <fill>
      <patternFill patternType="solid">
        <fgColor theme="0" tint="-0.15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FFFF00"/>
        <bgColor rgb="FFFFFF00"/>
      </patternFill>
    </fill>
  </fills>
  <borders count="6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/>
      <top style="hair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/>
      <right/>
      <top style="thin"/>
      <bottom style="double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3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3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2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2" fillId="0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3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3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0" borderId="4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22" fillId="0" borderId="4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22" fillId="0" borderId="4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3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9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9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9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9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2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fill" vertical="bottom" textRotation="0" wrapText="false" indent="0" shrinkToFit="false"/>
      <protection locked="true" hidden="false"/>
    </xf>
    <xf numFmtId="164" fontId="22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fill" vertical="bottom" textRotation="0" wrapText="false" indent="0" shrinkToFit="false"/>
      <protection locked="true" hidden="false"/>
    </xf>
    <xf numFmtId="164" fontId="22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6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6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6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2" fillId="6" borderId="4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22" fillId="6" borderId="4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6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6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7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7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7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5" fillId="7" borderId="4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25" fillId="7" borderId="4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7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8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2" fillId="8" borderId="4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22" fillId="8" borderId="4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8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8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9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2" fillId="9" borderId="4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22" fillId="9" borderId="4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9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9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0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1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2" fillId="10" borderId="4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22" fillId="10" borderId="4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1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1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1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1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11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2" fillId="11" borderId="4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22" fillId="11" borderId="4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11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11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7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2" fillId="7" borderId="4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22" fillId="7" borderId="4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2" fillId="0" borderId="3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7" xfId="0" applyFont="true" applyBorder="true" applyAlignment="true" applyProtection="false">
      <alignment horizontal="fill" vertical="bottom" textRotation="0" wrapText="false" indent="0" shrinkToFit="false"/>
      <protection locked="true" hidden="false"/>
    </xf>
    <xf numFmtId="164" fontId="19" fillId="0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2" fillId="0" borderId="4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5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5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2" fillId="0" borderId="5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22" fillId="0" borderId="5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22" fillId="0" borderId="5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5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5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 2 2" xfId="20"/>
    <cellStyle name="Migliaia 2" xfId="21"/>
    <cellStyle name="Normal 2" xfId="22"/>
    <cellStyle name="Normal 5" xfId="23"/>
  </cellStyles>
  <dxfs count="12">
    <dxf>
      <fill>
        <patternFill patternType="solid">
          <fgColor rgb="FF00B0F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1509480</xdr:colOff>
      <xdr:row>1</xdr:row>
      <xdr:rowOff>0</xdr:rowOff>
    </xdr:from>
    <xdr:to>
      <xdr:col>5</xdr:col>
      <xdr:colOff>1031040</xdr:colOff>
      <xdr:row>3</xdr:row>
      <xdr:rowOff>180360</xdr:rowOff>
    </xdr:to>
    <xdr:pic>
      <xdr:nvPicPr>
        <xdr:cNvPr id="0" name="Picture 4" descr=""/>
        <xdr:cNvPicPr/>
      </xdr:nvPicPr>
      <xdr:blipFill>
        <a:blip r:embed="rId1"/>
        <a:srcRect l="7967" t="14942" r="0" b="6929"/>
        <a:stretch/>
      </xdr:blipFill>
      <xdr:spPr>
        <a:xfrm>
          <a:off x="2213640" y="190440"/>
          <a:ext cx="1414440" cy="637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0</xdr:colOff>
      <xdr:row>1</xdr:row>
      <xdr:rowOff>15480</xdr:rowOff>
    </xdr:from>
    <xdr:to>
      <xdr:col>4</xdr:col>
      <xdr:colOff>1427760</xdr:colOff>
      <xdr:row>2</xdr:row>
      <xdr:rowOff>196560</xdr:rowOff>
    </xdr:to>
    <xdr:pic>
      <xdr:nvPicPr>
        <xdr:cNvPr id="1" name="Picture 5" descr=""/>
        <xdr:cNvPicPr/>
      </xdr:nvPicPr>
      <xdr:blipFill>
        <a:blip r:embed="rId2"/>
        <a:stretch/>
      </xdr:blipFill>
      <xdr:spPr>
        <a:xfrm>
          <a:off x="704160" y="205920"/>
          <a:ext cx="1427760" cy="409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290160</xdr:colOff>
      <xdr:row>1</xdr:row>
      <xdr:rowOff>0</xdr:rowOff>
    </xdr:from>
    <xdr:to>
      <xdr:col>3</xdr:col>
      <xdr:colOff>1653120</xdr:colOff>
      <xdr:row>3</xdr:row>
      <xdr:rowOff>207000</xdr:rowOff>
    </xdr:to>
    <xdr:pic>
      <xdr:nvPicPr>
        <xdr:cNvPr id="2" name="Picture 1" descr=""/>
        <xdr:cNvPicPr/>
      </xdr:nvPicPr>
      <xdr:blipFill>
        <a:blip r:embed="rId1"/>
        <a:srcRect l="7967" t="14942" r="0" b="6929"/>
        <a:stretch/>
      </xdr:blipFill>
      <xdr:spPr>
        <a:xfrm>
          <a:off x="1610280" y="200160"/>
          <a:ext cx="1362960" cy="626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</xdr:row>
      <xdr:rowOff>15480</xdr:rowOff>
    </xdr:from>
    <xdr:to>
      <xdr:col>3</xdr:col>
      <xdr:colOff>208440</xdr:colOff>
      <xdr:row>3</xdr:row>
      <xdr:rowOff>17640</xdr:rowOff>
    </xdr:to>
    <xdr:pic>
      <xdr:nvPicPr>
        <xdr:cNvPr id="3" name="Picture 3" descr=""/>
        <xdr:cNvPicPr/>
      </xdr:nvPicPr>
      <xdr:blipFill>
        <a:blip r:embed="rId2"/>
        <a:stretch/>
      </xdr:blipFill>
      <xdr:spPr>
        <a:xfrm>
          <a:off x="60480" y="215640"/>
          <a:ext cx="1468080" cy="421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9" activeCellId="0" sqref="J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.71"/>
    <col collapsed="false" customWidth="true" hidden="false" outlineLevel="0" max="3" min="2" style="1" width="1.57"/>
    <col collapsed="false" customWidth="true" hidden="false" outlineLevel="0" max="4" min="4" style="1" width="1.14"/>
    <col collapsed="false" customWidth="true" hidden="false" outlineLevel="0" max="5" min="5" style="1" width="26.86"/>
    <col collapsed="false" customWidth="true" hidden="false" outlineLevel="0" max="6" min="6" style="1" width="27.57"/>
    <col collapsed="false" customWidth="true" hidden="false" outlineLevel="0" max="7" min="7" style="1" width="8.42"/>
    <col collapsed="false" customWidth="true" hidden="false" outlineLevel="0" max="8" min="8" style="1" width="6.14"/>
    <col collapsed="false" customWidth="true" hidden="false" outlineLevel="0" max="10" min="9" style="1" width="8.86"/>
    <col collapsed="false" customWidth="true" hidden="false" outlineLevel="0" max="11" min="11" style="1" width="14.42"/>
    <col collapsed="false" customWidth="true" hidden="false" outlineLevel="0" max="13" min="12" style="1" width="10.71"/>
    <col collapsed="false" customWidth="true" hidden="false" outlineLevel="0" max="14" min="14" style="1" width="14.42"/>
  </cols>
  <sheetData>
    <row r="1" customFormat="false" ht="1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4" t="s">
        <v>0</v>
      </c>
      <c r="J1" s="5" t="s">
        <v>1</v>
      </c>
      <c r="K1" s="6" t="s">
        <v>2</v>
      </c>
      <c r="L1" s="6" t="s">
        <v>3</v>
      </c>
      <c r="M1" s="6" t="s">
        <v>4</v>
      </c>
      <c r="N1" s="3" t="s">
        <v>5</v>
      </c>
    </row>
    <row r="2" customFormat="false" ht="18" hidden="false" customHeight="true" outlineLevel="0" collapsed="false">
      <c r="A2" s="2"/>
      <c r="B2" s="7"/>
      <c r="C2" s="7"/>
      <c r="D2" s="7"/>
      <c r="E2" s="7"/>
      <c r="F2" s="7"/>
      <c r="G2" s="7"/>
      <c r="H2" s="7"/>
      <c r="I2" s="8" t="s">
        <v>6</v>
      </c>
      <c r="J2" s="9" t="s">
        <v>7</v>
      </c>
      <c r="K2" s="10" t="s">
        <v>8</v>
      </c>
      <c r="L2" s="11" t="s">
        <v>9</v>
      </c>
      <c r="M2" s="11" t="s">
        <v>10</v>
      </c>
      <c r="N2" s="11" t="s">
        <v>11</v>
      </c>
    </row>
    <row r="3" customFormat="false" ht="18" hidden="false" customHeight="true" outlineLevel="0" collapsed="false">
      <c r="A3" s="2"/>
      <c r="B3" s="7"/>
      <c r="C3" s="7"/>
      <c r="D3" s="7"/>
      <c r="E3" s="7"/>
      <c r="F3" s="7"/>
      <c r="G3" s="12"/>
      <c r="H3" s="7"/>
      <c r="I3" s="13"/>
      <c r="J3" s="13"/>
      <c r="K3" s="13"/>
      <c r="L3" s="13"/>
      <c r="M3" s="13"/>
      <c r="N3" s="13"/>
    </row>
    <row r="4" customFormat="false" ht="18" hidden="false" customHeight="true" outlineLevel="0" collapsed="false">
      <c r="A4" s="2"/>
      <c r="B4" s="9"/>
      <c r="C4" s="14" t="s">
        <v>12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customFormat="false" ht="18" hidden="false" customHeight="true" outlineLevel="0" collapsed="false">
      <c r="A5" s="2"/>
      <c r="B5" s="9"/>
      <c r="C5" s="15" t="s">
        <v>13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customFormat="false" ht="15" hidden="false" customHeight="true" outlineLevel="0" collapsed="false">
      <c r="A6" s="2"/>
      <c r="B6" s="16"/>
      <c r="C6" s="17"/>
      <c r="D6" s="17"/>
      <c r="E6" s="17"/>
      <c r="F6" s="17"/>
      <c r="G6" s="18"/>
      <c r="H6" s="17"/>
      <c r="I6" s="19"/>
      <c r="J6" s="19"/>
      <c r="K6" s="19"/>
      <c r="L6" s="19"/>
      <c r="M6" s="19"/>
      <c r="N6" s="19"/>
    </row>
    <row r="7" customFormat="false" ht="15" hidden="false" customHeight="true" outlineLevel="0" collapsed="false">
      <c r="A7" s="2"/>
      <c r="B7" s="20"/>
      <c r="C7" s="3"/>
      <c r="D7" s="3"/>
      <c r="E7" s="3"/>
      <c r="F7" s="3"/>
      <c r="G7" s="21"/>
      <c r="H7" s="3"/>
      <c r="I7" s="6"/>
      <c r="J7" s="6"/>
      <c r="K7" s="6"/>
      <c r="L7" s="6"/>
      <c r="M7" s="6"/>
      <c r="N7" s="6"/>
    </row>
    <row r="8" customFormat="false" ht="15" hidden="false" customHeight="true" outlineLevel="0" collapsed="false">
      <c r="A8" s="2"/>
      <c r="B8" s="20"/>
      <c r="C8" s="20"/>
      <c r="D8" s="5"/>
      <c r="E8" s="5"/>
      <c r="F8" s="5"/>
      <c r="G8" s="22"/>
      <c r="H8" s="5"/>
      <c r="I8" s="6"/>
      <c r="J8" s="6"/>
      <c r="K8" s="6"/>
      <c r="L8" s="6"/>
      <c r="M8" s="6"/>
      <c r="N8" s="6"/>
    </row>
    <row r="9" customFormat="false" ht="15" hidden="false" customHeight="true" outlineLevel="0" collapsed="false">
      <c r="A9" s="2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customFormat="false" ht="15" hidden="false" customHeight="true" outlineLevel="0" collapsed="false">
      <c r="A10" s="2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customFormat="false" ht="15" hidden="false" customHeight="true" outlineLevel="0" collapsed="false">
      <c r="A11" s="2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customFormat="false" ht="15" hidden="false" customHeight="true" outlineLevel="0" collapsed="false">
      <c r="A12" s="2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customFormat="false" ht="15" hidden="false" customHeight="true" outlineLevel="0" collapsed="false">
      <c r="A13" s="2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customFormat="false" ht="15" hidden="false" customHeight="true" outlineLevel="0" collapsed="false">
      <c r="A14" s="2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customFormat="false" ht="15" hidden="false" customHeight="true" outlineLevel="0" collapsed="false">
      <c r="A15" s="2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customFormat="false" ht="15" hidden="false" customHeight="true" outlineLevel="0" collapsed="false">
      <c r="A16" s="2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customFormat="false" ht="15" hidden="false" customHeight="true" outlineLevel="0" collapsed="false">
      <c r="A17" s="2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customFormat="false" ht="15" hidden="false" customHeight="true" outlineLevel="0" collapsed="false">
      <c r="A18" s="2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customFormat="false" ht="15" hidden="false" customHeight="true" outlineLevel="0" collapsed="false">
      <c r="A19" s="2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customFormat="false" ht="30" hidden="false" customHeight="true" outlineLevel="0" collapsed="false">
      <c r="A20" s="2"/>
      <c r="B20" s="20"/>
      <c r="C20" s="20"/>
      <c r="D20" s="23" t="s">
        <v>14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customFormat="false" ht="30" hidden="false" customHeight="true" outlineLevel="0" collapsed="false">
      <c r="A21" s="2"/>
      <c r="B21" s="20"/>
      <c r="C21" s="20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customFormat="false" ht="30" hidden="false" customHeight="true" outlineLevel="0" collapsed="false">
      <c r="A22" s="2"/>
      <c r="B22" s="20"/>
      <c r="C22" s="20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customFormat="false" ht="30" hidden="false" customHeight="true" outlineLevel="0" collapsed="false">
      <c r="A23" s="2"/>
      <c r="B23" s="20"/>
      <c r="C23" s="20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customFormat="false" ht="30" hidden="false" customHeight="true" outlineLevel="0" collapsed="false">
      <c r="A24" s="2"/>
      <c r="B24" s="20"/>
      <c r="C24" s="20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customFormat="false" ht="15" hidden="false" customHeight="true" outlineLevel="0" collapsed="false">
      <c r="A25" s="2"/>
      <c r="B25" s="20"/>
      <c r="C25" s="20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customFormat="false" ht="15" hidden="false" customHeight="true" outlineLevel="0" collapsed="false">
      <c r="A26" s="2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customFormat="false" ht="15" hidden="false" customHeight="true" outlineLevel="0" collapsed="false">
      <c r="A27" s="2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customFormat="false" ht="15" hidden="false" customHeight="true" outlineLevel="0" collapsed="false">
      <c r="A28" s="2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customFormat="false" ht="15" hidden="false" customHeight="true" outlineLevel="0" collapsed="false">
      <c r="A29" s="2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customFormat="false" ht="15" hidden="false" customHeight="true" outlineLevel="0" collapsed="false">
      <c r="A30" s="2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customFormat="false" ht="15" hidden="false" customHeight="true" outlineLevel="0" collapsed="false">
      <c r="A31" s="2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customFormat="false" ht="15" hidden="false" customHeight="true" outlineLevel="0" collapsed="false">
      <c r="A32" s="2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customFormat="false" ht="15" hidden="false" customHeight="true" outlineLevel="0" collapsed="false">
      <c r="A33" s="2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customFormat="false" ht="15" hidden="false" customHeight="true" outlineLevel="0" collapsed="false">
      <c r="A34" s="2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customFormat="false" ht="15" hidden="false" customHeight="true" outlineLevel="0" collapsed="false">
      <c r="A35" s="2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customFormat="false" ht="15" hidden="false" customHeight="true" outlineLevel="0" collapsed="false">
      <c r="A36" s="2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customFormat="false" ht="15" hidden="false" customHeight="true" outlineLevel="0" collapsed="false">
      <c r="A37" s="2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customFormat="false" ht="15" hidden="false" customHeight="true" outlineLevel="0" collapsed="false">
      <c r="A38" s="2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customFormat="false" ht="15" hidden="false" customHeight="true" outlineLevel="0" collapsed="false">
      <c r="A39" s="2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customFormat="false" ht="15" hidden="false" customHeight="true" outlineLevel="0" collapsed="false">
      <c r="A40" s="2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customFormat="false" ht="15" hidden="false" customHeight="true" outlineLevel="0" collapsed="false">
      <c r="A41" s="2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customFormat="false" ht="15" hidden="false" customHeight="true" outlineLevel="0" collapsed="false">
      <c r="A42" s="2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customFormat="false" ht="15" hidden="false" customHeight="true" outlineLevel="0" collapsed="false">
      <c r="A43" s="2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customFormat="false" ht="15" hidden="false" customHeight="true" outlineLevel="0" collapsed="false">
      <c r="A44" s="2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 customFormat="false" ht="15" hidden="false" customHeight="true" outlineLevel="0" collapsed="false">
      <c r="A45" s="2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customFormat="false" ht="15" hidden="false" customHeight="true" outlineLevel="0" collapsed="false">
      <c r="A46" s="2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 customFormat="false" ht="15" hidden="false" customHeight="true" outlineLevel="0" collapsed="false">
      <c r="A47" s="2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customFormat="false" ht="15" hidden="false" customHeight="true" outlineLevel="0" collapsed="false">
      <c r="A48" s="2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 customFormat="false" ht="15" hidden="false" customHeight="true" outlineLevel="0" collapsed="false">
      <c r="A49" s="2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customFormat="false" ht="15" hidden="false" customHeight="true" outlineLevel="0" collapsed="false">
      <c r="A50" s="2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  <row r="51" customFormat="false" ht="15" hidden="false" customHeight="true" outlineLevel="0" collapsed="false">
      <c r="A51" s="2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customFormat="false" ht="15" hidden="false" customHeight="true" outlineLevel="0" collapsed="false">
      <c r="A52" s="2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customFormat="false" ht="15" hidden="false" customHeight="true" outlineLevel="0" collapsed="false">
      <c r="A53" s="2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customFormat="false" ht="15" hidden="false" customHeight="true" outlineLevel="0" collapsed="false">
      <c r="A54" s="2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55" customFormat="false" ht="15" hidden="false" customHeight="true" outlineLevel="0" collapsed="false">
      <c r="A55" s="2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  <row r="56" customFormat="false" ht="3" hidden="false" customHeight="true" outlineLevel="0" collapsed="false">
      <c r="A56" s="2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</row>
    <row r="57" customFormat="false" ht="3" hidden="false" customHeight="true" outlineLevel="0" collapsed="false">
      <c r="A57" s="2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 customFormat="false" ht="3" hidden="false" customHeight="true" outlineLevel="0" collapsed="false">
      <c r="A58" s="2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</row>
    <row r="59" customFormat="false" ht="3" hidden="false" customHeight="true" outlineLevel="0" collapsed="false">
      <c r="A59" s="2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</row>
    <row r="60" customFormat="false" ht="15" hidden="false" customHeight="true" outlineLevel="0" collapsed="false">
      <c r="A60" s="2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 customFormat="false" ht="15" hidden="false" customHeight="true" outlineLevel="0" collapsed="false">
      <c r="A61" s="2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</row>
    <row r="62" customFormat="false" ht="15" hidden="false" customHeight="true" outlineLevel="0" collapsed="false">
      <c r="A62" s="2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</row>
    <row r="63" customFormat="false" ht="15" hidden="false" customHeight="true" outlineLevel="0" collapsed="false">
      <c r="A63" s="2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</row>
    <row r="64" customFormat="false" ht="15" hidden="false" customHeight="true" outlineLevel="0" collapsed="false">
      <c r="A64" s="2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</row>
    <row r="65" customFormat="false" ht="15" hidden="false" customHeight="true" outlineLevel="0" collapsed="false">
      <c r="A65" s="2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 customFormat="false" ht="15" hidden="false" customHeight="true" outlineLevel="0" collapsed="false">
      <c r="A66" s="2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</row>
    <row r="67" customFormat="false" ht="15.75" hidden="false" customHeight="true" outlineLevel="0" collapsed="false">
      <c r="A67" s="2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 customFormat="false" ht="15" hidden="false" customHeight="true" outlineLevel="0" collapsed="false">
      <c r="A68" s="2"/>
      <c r="B68" s="24"/>
      <c r="C68" s="25"/>
      <c r="D68" s="26"/>
      <c r="E68" s="27"/>
      <c r="F68" s="28"/>
      <c r="G68" s="28"/>
      <c r="H68" s="29"/>
      <c r="I68" s="28"/>
      <c r="J68" s="30"/>
      <c r="K68" s="29"/>
      <c r="L68" s="28"/>
      <c r="M68" s="31"/>
      <c r="N68" s="31"/>
    </row>
    <row r="69" customFormat="false" ht="15" hidden="false" customHeight="true" outlineLevel="0" collapsed="false">
      <c r="A69" s="2"/>
      <c r="B69" s="32"/>
      <c r="C69" s="32"/>
      <c r="D69" s="32"/>
      <c r="E69" s="33"/>
      <c r="F69" s="34"/>
      <c r="G69" s="34"/>
      <c r="H69" s="34"/>
      <c r="I69" s="34"/>
      <c r="J69" s="34"/>
      <c r="K69" s="35"/>
      <c r="L69" s="36"/>
      <c r="M69" s="37"/>
      <c r="N69" s="37"/>
    </row>
    <row r="70" customFormat="false" ht="15" hidden="false" customHeight="true" outlineLevel="0" collapsed="false">
      <c r="A70" s="2"/>
      <c r="B70" s="32"/>
      <c r="C70" s="32"/>
      <c r="D70" s="32"/>
      <c r="E70" s="33"/>
      <c r="F70" s="34"/>
      <c r="G70" s="34"/>
      <c r="H70" s="34"/>
      <c r="I70" s="34"/>
      <c r="J70" s="34"/>
      <c r="K70" s="38"/>
      <c r="L70" s="38"/>
      <c r="M70" s="37"/>
      <c r="N70" s="37"/>
    </row>
    <row r="71" customFormat="false" ht="15" hidden="false" customHeight="true" outlineLevel="0" collapsed="false">
      <c r="A71" s="2"/>
      <c r="B71" s="32"/>
      <c r="C71" s="32"/>
      <c r="D71" s="32"/>
      <c r="E71" s="33"/>
      <c r="F71" s="34"/>
      <c r="G71" s="34"/>
      <c r="H71" s="34"/>
      <c r="I71" s="34"/>
      <c r="J71" s="34"/>
      <c r="K71" s="38"/>
      <c r="L71" s="38"/>
      <c r="M71" s="37"/>
      <c r="N71" s="37"/>
    </row>
    <row r="72" customFormat="false" ht="15" hidden="false" customHeight="true" outlineLevel="0" collapsed="false">
      <c r="A72" s="2"/>
      <c r="B72" s="32"/>
      <c r="C72" s="32"/>
      <c r="D72" s="32"/>
      <c r="E72" s="33"/>
      <c r="F72" s="39"/>
      <c r="G72" s="39"/>
      <c r="H72" s="34"/>
      <c r="I72" s="34"/>
      <c r="J72" s="34"/>
      <c r="K72" s="38"/>
      <c r="L72" s="38"/>
      <c r="M72" s="40"/>
      <c r="N72" s="40"/>
    </row>
    <row r="73" customFormat="false" ht="15" hidden="false" customHeight="true" outlineLevel="0" collapsed="false">
      <c r="A73" s="2"/>
      <c r="B73" s="32"/>
      <c r="C73" s="32"/>
      <c r="D73" s="32"/>
      <c r="E73" s="33"/>
      <c r="F73" s="34"/>
      <c r="G73" s="34"/>
      <c r="H73" s="34"/>
      <c r="I73" s="34"/>
      <c r="J73" s="34"/>
      <c r="K73" s="38"/>
      <c r="L73" s="38"/>
      <c r="M73" s="40"/>
      <c r="N73" s="40"/>
    </row>
    <row r="74" customFormat="false" ht="15" hidden="false" customHeight="true" outlineLevel="0" collapsed="false">
      <c r="A74" s="2"/>
      <c r="B74" s="32"/>
      <c r="C74" s="32"/>
      <c r="D74" s="32"/>
      <c r="E74" s="33"/>
      <c r="F74" s="34"/>
      <c r="G74" s="34"/>
      <c r="H74" s="34"/>
      <c r="I74" s="34"/>
      <c r="J74" s="34"/>
      <c r="K74" s="38"/>
      <c r="L74" s="38"/>
      <c r="M74" s="40"/>
      <c r="N74" s="40"/>
    </row>
    <row r="75" customFormat="false" ht="15" hidden="false" customHeight="true" outlineLevel="0" collapsed="false">
      <c r="A75" s="2"/>
      <c r="B75" s="32" t="s">
        <v>10</v>
      </c>
      <c r="C75" s="32"/>
      <c r="D75" s="32"/>
      <c r="E75" s="33" t="s">
        <v>15</v>
      </c>
      <c r="F75" s="34" t="s">
        <v>16</v>
      </c>
      <c r="G75" s="34"/>
      <c r="H75" s="34"/>
      <c r="I75" s="34"/>
      <c r="J75" s="34"/>
      <c r="K75" s="38"/>
      <c r="L75" s="38"/>
      <c r="M75" s="40"/>
      <c r="N75" s="40"/>
    </row>
    <row r="76" customFormat="false" ht="25.5" hidden="false" customHeight="true" outlineLevel="0" collapsed="false">
      <c r="A76" s="2"/>
      <c r="B76" s="32" t="s">
        <v>17</v>
      </c>
      <c r="C76" s="32"/>
      <c r="D76" s="32"/>
      <c r="E76" s="41" t="s">
        <v>18</v>
      </c>
      <c r="F76" s="34" t="s">
        <v>19</v>
      </c>
      <c r="G76" s="34"/>
      <c r="H76" s="41" t="s">
        <v>20</v>
      </c>
      <c r="I76" s="41"/>
      <c r="J76" s="41"/>
      <c r="K76" s="42" t="s">
        <v>21</v>
      </c>
      <c r="L76" s="42"/>
      <c r="M76" s="43" t="s">
        <v>22</v>
      </c>
      <c r="N76" s="43"/>
    </row>
    <row r="77" customFormat="false" ht="15.75" hidden="false" customHeight="true" outlineLevel="0" collapsed="false">
      <c r="A77" s="2"/>
      <c r="B77" s="44" t="s">
        <v>23</v>
      </c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</row>
    <row r="78" customFormat="false" ht="15" hidden="false" customHeight="true" outlineLevel="0" collapsed="false">
      <c r="A78" s="2"/>
      <c r="B78" s="45" t="s">
        <v>24</v>
      </c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</row>
    <row r="79" customFormat="false" ht="15" hidden="false" customHeight="true" outlineLevel="0" collapsed="false">
      <c r="A79" s="2"/>
      <c r="B79" s="46" t="s">
        <v>25</v>
      </c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</row>
    <row r="80" customFormat="false" ht="15" hidden="false" customHeight="true" outlineLevel="0" collapsed="false">
      <c r="A80" s="2"/>
      <c r="B80" s="2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6"/>
    </row>
    <row r="81" customFormat="false" ht="15" hidden="false" customHeight="true" outlineLevel="0" collapsed="false">
      <c r="A81" s="2"/>
      <c r="B81" s="20"/>
      <c r="C81" s="20"/>
      <c r="D81" s="5"/>
      <c r="E81" s="3"/>
      <c r="F81" s="3"/>
      <c r="G81" s="21"/>
      <c r="H81" s="3"/>
      <c r="I81" s="48"/>
      <c r="J81" s="48"/>
      <c r="K81" s="48"/>
      <c r="L81" s="48"/>
      <c r="M81" s="48"/>
      <c r="N81" s="6"/>
    </row>
    <row r="82" customFormat="false" ht="15" hidden="false" customHeight="true" outlineLevel="0" collapsed="false">
      <c r="A82" s="2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</row>
    <row r="83" customFormat="false" ht="15" hidden="false" customHeight="true" outlineLevel="0" collapsed="false">
      <c r="A83" s="2"/>
      <c r="B83" s="20"/>
      <c r="C83" s="20"/>
      <c r="D83" s="20"/>
      <c r="E83" s="49" t="s">
        <v>26</v>
      </c>
      <c r="F83" s="49"/>
      <c r="G83" s="49"/>
      <c r="H83" s="49"/>
      <c r="I83" s="49"/>
      <c r="J83" s="49"/>
      <c r="K83" s="49"/>
      <c r="L83" s="49"/>
      <c r="M83" s="49"/>
      <c r="N83" s="20"/>
    </row>
    <row r="84" customFormat="false" ht="15" hidden="false" customHeight="true" outlineLevel="0" collapsed="false">
      <c r="A84" s="2"/>
      <c r="B84" s="20"/>
      <c r="C84" s="3"/>
      <c r="D84" s="20"/>
      <c r="E84" s="49"/>
      <c r="F84" s="49"/>
      <c r="G84" s="49"/>
      <c r="H84" s="49"/>
      <c r="I84" s="49"/>
      <c r="J84" s="49"/>
      <c r="K84" s="49"/>
      <c r="L84" s="49"/>
      <c r="M84" s="49"/>
      <c r="N84" s="20"/>
    </row>
    <row r="85" customFormat="false" ht="20.25" hidden="false" customHeight="true" outlineLevel="0" collapsed="false">
      <c r="A85" s="2"/>
      <c r="B85" s="20"/>
      <c r="C85" s="3"/>
      <c r="D85" s="20"/>
      <c r="E85" s="50"/>
      <c r="F85" s="50"/>
      <c r="G85" s="50"/>
      <c r="H85" s="50"/>
      <c r="I85" s="50"/>
      <c r="J85" s="50"/>
      <c r="K85" s="50"/>
      <c r="L85" s="50"/>
      <c r="M85" s="50"/>
      <c r="N85" s="20"/>
    </row>
    <row r="86" customFormat="false" ht="15" hidden="false" customHeight="true" outlineLevel="0" collapsed="false">
      <c r="A86" s="2"/>
      <c r="B86" s="20"/>
      <c r="C86" s="51"/>
      <c r="D86" s="20"/>
      <c r="E86" s="51"/>
      <c r="F86" s="51"/>
      <c r="G86" s="51"/>
      <c r="H86" s="51"/>
      <c r="I86" s="51"/>
      <c r="J86" s="51"/>
      <c r="K86" s="51"/>
      <c r="L86" s="51"/>
      <c r="M86" s="51"/>
      <c r="N86" s="20"/>
    </row>
    <row r="87" customFormat="false" ht="18" hidden="false" customHeight="true" outlineLevel="0" collapsed="false">
      <c r="A87" s="2"/>
      <c r="B87" s="20"/>
      <c r="C87" s="3"/>
      <c r="D87" s="20"/>
      <c r="E87" s="52" t="str">
        <f aca="false">E94</f>
        <v>1      INTRODUCTION</v>
      </c>
      <c r="F87" s="52"/>
      <c r="G87" s="52"/>
      <c r="H87" s="52"/>
      <c r="I87" s="52"/>
      <c r="J87" s="52"/>
      <c r="K87" s="52"/>
      <c r="L87" s="52"/>
      <c r="M87" s="52"/>
      <c r="N87" s="20"/>
    </row>
    <row r="88" customFormat="false" ht="18" hidden="false" customHeight="true" outlineLevel="0" collapsed="false">
      <c r="A88" s="2"/>
      <c r="B88" s="20"/>
      <c r="C88" s="3"/>
      <c r="D88" s="20"/>
      <c r="E88" s="7"/>
      <c r="F88" s="7"/>
      <c r="G88" s="7"/>
      <c r="H88" s="7"/>
      <c r="I88" s="7"/>
      <c r="J88" s="7"/>
      <c r="K88" s="7"/>
      <c r="L88" s="7"/>
      <c r="M88" s="7"/>
      <c r="N88" s="20"/>
    </row>
    <row r="89" customFormat="false" ht="18" hidden="false" customHeight="true" outlineLevel="0" collapsed="false">
      <c r="A89" s="2"/>
      <c r="B89" s="20"/>
      <c r="C89" s="20"/>
      <c r="D89" s="20"/>
      <c r="E89" s="52" t="s">
        <v>27</v>
      </c>
      <c r="F89" s="52"/>
      <c r="G89" s="52"/>
      <c r="H89" s="52"/>
      <c r="I89" s="52"/>
      <c r="J89" s="52"/>
      <c r="K89" s="52"/>
      <c r="L89" s="52"/>
      <c r="M89" s="52"/>
      <c r="N89" s="20"/>
    </row>
    <row r="90" customFormat="false" ht="18" hidden="false" customHeight="true" outlineLevel="0" collapsed="false">
      <c r="A90" s="2"/>
      <c r="B90" s="20"/>
      <c r="C90" s="3"/>
      <c r="D90" s="20"/>
      <c r="E90" s="7"/>
      <c r="F90" s="7"/>
      <c r="G90" s="7"/>
      <c r="H90" s="7"/>
      <c r="I90" s="7"/>
      <c r="J90" s="7"/>
      <c r="K90" s="7"/>
      <c r="L90" s="7"/>
      <c r="M90" s="7"/>
      <c r="N90" s="20"/>
    </row>
    <row r="91" customFormat="false" ht="18" hidden="false" customHeight="true" outlineLevel="0" collapsed="false">
      <c r="A91" s="2"/>
      <c r="B91" s="20"/>
      <c r="C91" s="3"/>
      <c r="D91" s="20"/>
      <c r="E91" s="7"/>
      <c r="F91" s="7"/>
      <c r="G91" s="7"/>
      <c r="H91" s="7"/>
      <c r="I91" s="7"/>
      <c r="J91" s="7"/>
      <c r="K91" s="7"/>
      <c r="L91" s="7"/>
      <c r="M91" s="7"/>
      <c r="N91" s="20"/>
    </row>
    <row r="92" customFormat="false" ht="15.75" hidden="false" customHeight="true" outlineLevel="0" collapsed="false">
      <c r="A92" s="2"/>
      <c r="B92" s="20"/>
      <c r="C92" s="20"/>
      <c r="D92" s="20"/>
      <c r="E92" s="20"/>
      <c r="F92" s="53"/>
      <c r="G92" s="53"/>
      <c r="H92" s="53"/>
      <c r="I92" s="53"/>
      <c r="J92" s="53"/>
      <c r="K92" s="53"/>
      <c r="L92" s="20"/>
      <c r="M92" s="20"/>
      <c r="N92" s="20"/>
    </row>
    <row r="93" customFormat="false" ht="27" hidden="false" customHeight="true" outlineLevel="0" collapsed="false">
      <c r="A93" s="2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</row>
    <row r="94" customFormat="false" ht="15" hidden="false" customHeight="true" outlineLevel="0" collapsed="false">
      <c r="A94" s="2"/>
      <c r="B94" s="20"/>
      <c r="C94" s="20"/>
      <c r="D94" s="20"/>
      <c r="E94" s="52" t="s">
        <v>28</v>
      </c>
      <c r="F94" s="52"/>
      <c r="G94" s="52"/>
      <c r="H94" s="52"/>
      <c r="I94" s="52"/>
      <c r="J94" s="52"/>
      <c r="K94" s="52"/>
      <c r="L94" s="52"/>
      <c r="M94" s="52"/>
      <c r="N94" s="20"/>
    </row>
    <row r="95" customFormat="false" ht="15" hidden="false" customHeight="true" outlineLevel="0" collapsed="false">
      <c r="A95" s="2"/>
      <c r="B95" s="20"/>
      <c r="C95" s="20"/>
      <c r="D95" s="20"/>
      <c r="E95" s="52"/>
      <c r="F95" s="52"/>
      <c r="G95" s="52"/>
      <c r="H95" s="52"/>
      <c r="I95" s="52"/>
      <c r="J95" s="52"/>
      <c r="K95" s="52"/>
      <c r="L95" s="52"/>
      <c r="M95" s="52"/>
      <c r="N95" s="20"/>
    </row>
    <row r="96" customFormat="false" ht="15" hidden="false" customHeight="true" outlineLevel="0" collapsed="false">
      <c r="A96" s="2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</row>
    <row r="97" customFormat="false" ht="18.75" hidden="false" customHeight="true" outlineLevel="0" collapsed="false">
      <c r="A97" s="2"/>
      <c r="B97" s="20"/>
      <c r="C97" s="20"/>
      <c r="D97" s="20"/>
      <c r="E97" s="55" t="s">
        <v>29</v>
      </c>
      <c r="F97" s="55"/>
      <c r="G97" s="55"/>
      <c r="H97" s="55"/>
      <c r="I97" s="55"/>
      <c r="J97" s="55"/>
      <c r="K97" s="55"/>
      <c r="L97" s="55"/>
      <c r="M97" s="55"/>
      <c r="N97" s="20"/>
    </row>
    <row r="98" customFormat="false" ht="18.75" hidden="false" customHeight="true" outlineLevel="0" collapsed="false">
      <c r="A98" s="2"/>
      <c r="B98" s="20"/>
      <c r="C98" s="20"/>
      <c r="D98" s="20"/>
      <c r="E98" s="55" t="s">
        <v>30</v>
      </c>
      <c r="F98" s="55"/>
      <c r="G98" s="55"/>
      <c r="H98" s="55"/>
      <c r="I98" s="55"/>
      <c r="J98" s="55"/>
      <c r="K98" s="55"/>
      <c r="L98" s="55"/>
      <c r="M98" s="55"/>
      <c r="N98" s="20"/>
    </row>
    <row r="99" customFormat="false" ht="18.75" hidden="false" customHeight="true" outlineLevel="0" collapsed="false">
      <c r="A99" s="2"/>
      <c r="B99" s="20"/>
      <c r="C99" s="20"/>
      <c r="D99" s="20"/>
      <c r="E99" s="55" t="s">
        <v>31</v>
      </c>
      <c r="F99" s="55"/>
      <c r="G99" s="55"/>
      <c r="H99" s="55"/>
      <c r="I99" s="55"/>
      <c r="J99" s="55"/>
      <c r="K99" s="55"/>
      <c r="L99" s="55"/>
      <c r="M99" s="55"/>
      <c r="N99" s="20"/>
    </row>
    <row r="100" customFormat="false" ht="15" hidden="false" customHeight="true" outlineLevel="0" collapsed="false"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</row>
    <row r="101" customFormat="false" ht="15" hidden="false" customHeight="true" outlineLevel="0" collapsed="false"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</row>
    <row r="102" customFormat="false" ht="15" hidden="false" customHeight="true" outlineLevel="0" collapsed="false">
      <c r="B102" s="56"/>
      <c r="C102" s="57"/>
      <c r="D102" s="57"/>
      <c r="E102" s="57"/>
      <c r="F102" s="57"/>
      <c r="G102" s="58"/>
      <c r="H102" s="57"/>
      <c r="I102" s="59"/>
      <c r="J102" s="59"/>
      <c r="K102" s="59"/>
      <c r="L102" s="59"/>
      <c r="M102" s="59"/>
      <c r="N102" s="59"/>
    </row>
  </sheetData>
  <mergeCells count="53">
    <mergeCell ref="C4:N4"/>
    <mergeCell ref="C5:N5"/>
    <mergeCell ref="D20:N25"/>
    <mergeCell ref="M68:N68"/>
    <mergeCell ref="B69:D69"/>
    <mergeCell ref="F69:G69"/>
    <mergeCell ref="H69:J69"/>
    <mergeCell ref="M69:N69"/>
    <mergeCell ref="B70:D70"/>
    <mergeCell ref="F70:G70"/>
    <mergeCell ref="H70:J70"/>
    <mergeCell ref="K70:L70"/>
    <mergeCell ref="M70:N70"/>
    <mergeCell ref="B71:D71"/>
    <mergeCell ref="F71:G71"/>
    <mergeCell ref="H71:J71"/>
    <mergeCell ref="K71:L71"/>
    <mergeCell ref="M71:N71"/>
    <mergeCell ref="B72:D72"/>
    <mergeCell ref="F72:G72"/>
    <mergeCell ref="H72:J72"/>
    <mergeCell ref="K72:L72"/>
    <mergeCell ref="M72:N72"/>
    <mergeCell ref="B73:D73"/>
    <mergeCell ref="F73:G73"/>
    <mergeCell ref="H73:J73"/>
    <mergeCell ref="K73:L73"/>
    <mergeCell ref="M73:N73"/>
    <mergeCell ref="B74:D74"/>
    <mergeCell ref="F74:G74"/>
    <mergeCell ref="H74:J74"/>
    <mergeCell ref="K74:L74"/>
    <mergeCell ref="M74:N74"/>
    <mergeCell ref="B75:D75"/>
    <mergeCell ref="F75:G75"/>
    <mergeCell ref="H75:J75"/>
    <mergeCell ref="K75:L75"/>
    <mergeCell ref="M75:N75"/>
    <mergeCell ref="B76:D76"/>
    <mergeCell ref="F76:G76"/>
    <mergeCell ref="H76:J76"/>
    <mergeCell ref="K76:L76"/>
    <mergeCell ref="M76:N76"/>
    <mergeCell ref="B77:N77"/>
    <mergeCell ref="B78:N78"/>
    <mergeCell ref="E83:M84"/>
    <mergeCell ref="E87:M87"/>
    <mergeCell ref="E89:M89"/>
    <mergeCell ref="B93:N93"/>
    <mergeCell ref="E94:M95"/>
    <mergeCell ref="E97:M97"/>
    <mergeCell ref="E98:M98"/>
    <mergeCell ref="E99:M99"/>
  </mergeCells>
  <printOptions headings="false" gridLines="false" gridLinesSet="true" horizontalCentered="false" verticalCentered="false"/>
  <pageMargins left="0.7" right="0.7" top="0.75" bottom="0.75" header="0.3" footer="0.511811023622047"/>
  <pageSetup paperSize="9" scale="59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&amp;L&amp;"Aptos,Regular"&amp;1  TechnipEnergies | General | Anyone - No Protection#_x005F_x000d_</oddHeader>
    <oddFooter/>
  </headerFooter>
  <rowBreaks count="1" manualBreakCount="1">
    <brk id="79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AF824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190" activeCellId="0" sqref="D190"/>
    </sheetView>
  </sheetViews>
  <sheetFormatPr defaultColWidth="9.1484375" defaultRowHeight="16.5" customHeight="true" zeroHeight="false" outlineLevelRow="0" outlineLevelCol="0"/>
  <cols>
    <col collapsed="false" customWidth="true" hidden="false" outlineLevel="0" max="1" min="1" style="1" width="0.86"/>
    <col collapsed="false" customWidth="true" hidden="false" outlineLevel="0" max="2" min="2" style="1" width="15.71"/>
    <col collapsed="false" customWidth="true" hidden="false" outlineLevel="0" max="3" min="3" style="1" width="2.16"/>
    <col collapsed="false" customWidth="true" hidden="false" outlineLevel="0" max="4" min="4" style="1" width="100.57"/>
    <col collapsed="false" customWidth="true" hidden="false" outlineLevel="0" max="5" min="5" style="1" width="15.71"/>
    <col collapsed="false" customWidth="true" hidden="false" outlineLevel="0" max="6" min="6" style="1" width="27.71"/>
    <col collapsed="false" customWidth="true" hidden="false" outlineLevel="0" max="7" min="7" style="1" width="16.57"/>
    <col collapsed="false" customWidth="true" hidden="false" outlineLevel="0" max="8" min="8" style="1" width="15.71"/>
    <col collapsed="false" customWidth="true" hidden="false" outlineLevel="0" max="9" min="9" style="1" width="18.57"/>
    <col collapsed="false" customWidth="true" hidden="true" outlineLevel="0" max="10" min="10" style="1" width="20.71"/>
    <col collapsed="false" customWidth="true" hidden="true" outlineLevel="0" max="16" min="11" style="60" width="20.71"/>
    <col collapsed="false" customWidth="true" hidden="true" outlineLevel="0" max="17" min="17" style="1" width="15.71"/>
    <col collapsed="false" customWidth="true" hidden="false" outlineLevel="0" max="18" min="18" style="61" width="20.14"/>
    <col collapsed="false" customWidth="true" hidden="false" outlineLevel="0" max="19" min="19" style="61" width="20.85"/>
    <col collapsed="false" customWidth="true" hidden="false" outlineLevel="0" max="20" min="20" style="61" width="16.57"/>
    <col collapsed="false" customWidth="true" hidden="false" outlineLevel="0" max="22" min="21" style="61" width="17.29"/>
    <col collapsed="false" customWidth="true" hidden="false" outlineLevel="0" max="23" min="23" style="61" width="18"/>
    <col collapsed="false" customWidth="true" hidden="false" outlineLevel="0" max="24" min="24" style="61" width="8"/>
    <col collapsed="false" customWidth="true" hidden="false" outlineLevel="0" max="25" min="25" style="61" width="14.29"/>
    <col collapsed="false" customWidth="true" hidden="false" outlineLevel="0" max="26" min="26" style="61" width="9.42"/>
    <col collapsed="false" customWidth="true" hidden="false" outlineLevel="0" max="27" min="27" style="61" width="10.42"/>
    <col collapsed="false" customWidth="true" hidden="false" outlineLevel="0" max="28" min="28" style="61" width="11.85"/>
    <col collapsed="false" customWidth="true" hidden="false" outlineLevel="0" max="29" min="29" style="61" width="12.86"/>
    <col collapsed="false" customWidth="true" hidden="false" outlineLevel="0" max="30" min="30" style="61" width="9.86"/>
    <col collapsed="false" customWidth="true" hidden="false" outlineLevel="0" max="31" min="31" style="61" width="16.29"/>
  </cols>
  <sheetData>
    <row r="1" customFormat="false" ht="15.75" hidden="false" customHeight="true" outlineLevel="0" collapsed="false">
      <c r="E1" s="62" t="s">
        <v>0</v>
      </c>
      <c r="F1" s="63" t="s">
        <v>1</v>
      </c>
      <c r="G1" s="63" t="s">
        <v>32</v>
      </c>
      <c r="H1" s="63" t="s">
        <v>3</v>
      </c>
      <c r="I1" s="63" t="s">
        <v>33</v>
      </c>
      <c r="J1" s="64" t="s">
        <v>5</v>
      </c>
    </row>
    <row r="2" customFormat="false" ht="16.5" hidden="false" customHeight="true" outlineLevel="0" collapsed="false">
      <c r="E2" s="65" t="str">
        <f aca="false">+'COVER PAGE'!I2</f>
        <v>218857C</v>
      </c>
      <c r="F2" s="66" t="str">
        <f aca="false">+'COVER PAGE'!J2</f>
        <v>00</v>
      </c>
      <c r="G2" s="67" t="str">
        <f aca="false">+'COVER PAGE'!K2</f>
        <v>PS 1600</v>
      </c>
      <c r="H2" s="67" t="str">
        <f aca="false">+'COVER PAGE'!L2</f>
        <v>0001</v>
      </c>
      <c r="I2" s="68" t="str">
        <f aca="false">+'COVER PAGE'!M2</f>
        <v>A</v>
      </c>
      <c r="J2" s="69" t="n">
        <v>2</v>
      </c>
    </row>
    <row r="4" customFormat="false" ht="18" hidden="false" customHeight="true" outlineLevel="0" collapsed="false">
      <c r="J4" s="70" t="s">
        <v>34</v>
      </c>
      <c r="K4" s="70"/>
      <c r="L4" s="70"/>
      <c r="M4" s="70"/>
      <c r="N4" s="70"/>
      <c r="O4" s="70"/>
      <c r="P4" s="70"/>
    </row>
    <row r="5" customFormat="false" ht="16.5" hidden="false" customHeight="true" outlineLevel="0" collapsed="false">
      <c r="J5" s="70"/>
      <c r="K5" s="70"/>
      <c r="L5" s="70"/>
      <c r="M5" s="70"/>
      <c r="N5" s="70"/>
      <c r="O5" s="70"/>
      <c r="P5" s="70"/>
    </row>
    <row r="6" customFormat="false" ht="17.25" hidden="false" customHeight="true" outlineLevel="0" collapsed="false">
      <c r="J6" s="70"/>
      <c r="K6" s="70"/>
      <c r="L6" s="70"/>
      <c r="M6" s="70"/>
      <c r="N6" s="70"/>
      <c r="O6" s="70"/>
      <c r="P6" s="70"/>
    </row>
    <row r="7" customFormat="false" ht="24" hidden="false" customHeight="true" outlineLevel="0" collapsed="false">
      <c r="A7" s="71"/>
      <c r="B7" s="72"/>
      <c r="C7" s="73"/>
      <c r="D7" s="73"/>
      <c r="E7" s="73"/>
      <c r="F7" s="73"/>
      <c r="G7" s="73"/>
      <c r="H7" s="74"/>
      <c r="J7" s="70"/>
      <c r="K7" s="70"/>
      <c r="L7" s="70"/>
      <c r="M7" s="70"/>
      <c r="N7" s="70"/>
      <c r="O7" s="70"/>
      <c r="P7" s="70"/>
    </row>
    <row r="8" customFormat="false" ht="15.75" hidden="false" customHeight="true" outlineLevel="0" collapsed="false">
      <c r="A8" s="71"/>
      <c r="B8" s="75"/>
      <c r="C8" s="76"/>
      <c r="D8" s="76"/>
      <c r="E8" s="76"/>
      <c r="H8" s="77"/>
    </row>
    <row r="9" customFormat="false" ht="16.5" hidden="false" customHeight="true" outlineLevel="0" collapsed="false">
      <c r="A9" s="71"/>
      <c r="B9" s="75" t="s">
        <v>35</v>
      </c>
      <c r="C9" s="76"/>
      <c r="D9" s="76"/>
      <c r="E9" s="76"/>
      <c r="H9" s="77"/>
    </row>
    <row r="10" s="83" customFormat="true" ht="24" hidden="false" customHeight="true" outlineLevel="0" collapsed="false">
      <c r="A10" s="78"/>
      <c r="B10" s="79"/>
      <c r="C10" s="80"/>
      <c r="D10" s="80"/>
      <c r="E10" s="80"/>
      <c r="F10" s="81" t="s">
        <v>36</v>
      </c>
      <c r="G10" s="81" t="s">
        <v>37</v>
      </c>
      <c r="H10" s="82" t="s">
        <v>38</v>
      </c>
      <c r="J10" s="84" t="s">
        <v>39</v>
      </c>
      <c r="K10" s="84"/>
      <c r="L10" s="84"/>
      <c r="M10" s="84"/>
      <c r="N10" s="84"/>
      <c r="O10" s="84"/>
      <c r="P10" s="84"/>
      <c r="R10" s="61"/>
      <c r="S10" s="61"/>
      <c r="T10" s="61"/>
      <c r="U10" s="61"/>
      <c r="V10" s="61"/>
      <c r="W10" s="61"/>
      <c r="X10" s="85"/>
      <c r="Y10" s="85"/>
      <c r="Z10" s="85"/>
      <c r="AA10" s="85"/>
      <c r="AB10" s="85"/>
      <c r="AC10" s="85"/>
      <c r="AD10" s="85"/>
      <c r="AE10" s="85"/>
    </row>
    <row r="11" customFormat="false" ht="51.75" hidden="false" customHeight="true" outlineLevel="0" collapsed="false">
      <c r="A11" s="86"/>
      <c r="B11" s="87"/>
      <c r="C11" s="88"/>
      <c r="D11" s="89"/>
      <c r="E11" s="90"/>
      <c r="F11" s="91" t="s">
        <v>40</v>
      </c>
      <c r="G11" s="91" t="s">
        <v>41</v>
      </c>
      <c r="H11" s="82"/>
      <c r="J11" s="92" t="s">
        <v>42</v>
      </c>
      <c r="K11" s="93" t="s">
        <v>43</v>
      </c>
      <c r="L11" s="93" t="s">
        <v>44</v>
      </c>
      <c r="M11" s="93" t="s">
        <v>45</v>
      </c>
      <c r="N11" s="93" t="s">
        <v>46</v>
      </c>
      <c r="O11" s="93" t="s">
        <v>47</v>
      </c>
      <c r="P11" s="94" t="s">
        <v>48</v>
      </c>
      <c r="V11" s="61" t="n">
        <v>5</v>
      </c>
      <c r="X11" s="61" t="n">
        <v>1</v>
      </c>
    </row>
    <row r="12" s="96" customFormat="true" ht="37.5" hidden="false" customHeight="true" outlineLevel="0" collapsed="false">
      <c r="A12" s="86"/>
      <c r="B12" s="87" t="s">
        <v>49</v>
      </c>
      <c r="C12" s="95" t="s">
        <v>50</v>
      </c>
      <c r="D12" s="95"/>
      <c r="E12" s="95" t="s">
        <v>51</v>
      </c>
      <c r="F12" s="91"/>
      <c r="G12" s="91"/>
      <c r="H12" s="82"/>
      <c r="J12" s="97" t="s">
        <v>52</v>
      </c>
      <c r="K12" s="98" t="s">
        <v>53</v>
      </c>
      <c r="L12" s="98" t="s">
        <v>54</v>
      </c>
      <c r="M12" s="98" t="s">
        <v>54</v>
      </c>
      <c r="N12" s="98" t="s">
        <v>55</v>
      </c>
      <c r="O12" s="98" t="s">
        <v>55</v>
      </c>
      <c r="P12" s="99" t="s">
        <v>55</v>
      </c>
      <c r="R12" s="100" t="s">
        <v>56</v>
      </c>
      <c r="S12" s="100" t="s">
        <v>57</v>
      </c>
      <c r="T12" s="100" t="s">
        <v>58</v>
      </c>
      <c r="U12" s="100" t="s">
        <v>59</v>
      </c>
      <c r="V12" s="100" t="s">
        <v>60</v>
      </c>
      <c r="W12" s="100" t="s">
        <v>61</v>
      </c>
      <c r="X12" s="101" t="s">
        <v>62</v>
      </c>
      <c r="Y12" s="101" t="s">
        <v>63</v>
      </c>
      <c r="Z12" s="101" t="s">
        <v>64</v>
      </c>
      <c r="AA12" s="101" t="s">
        <v>65</v>
      </c>
      <c r="AB12" s="101" t="s">
        <v>66</v>
      </c>
      <c r="AC12" s="101" t="s">
        <v>67</v>
      </c>
      <c r="AD12" s="101" t="s">
        <v>68</v>
      </c>
      <c r="AE12" s="101" t="s">
        <v>69</v>
      </c>
    </row>
    <row r="13" customFormat="false" ht="21" hidden="false" customHeight="true" outlineLevel="0" collapsed="false">
      <c r="A13" s="102"/>
      <c r="B13" s="103" t="s">
        <v>70</v>
      </c>
      <c r="C13" s="104"/>
      <c r="D13" s="104"/>
      <c r="E13" s="105"/>
      <c r="F13" s="106"/>
      <c r="G13" s="106"/>
      <c r="H13" s="107"/>
      <c r="J13" s="108"/>
      <c r="K13" s="108"/>
      <c r="L13" s="108"/>
      <c r="M13" s="108"/>
      <c r="N13" s="108"/>
      <c r="O13" s="108"/>
      <c r="P13" s="108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</row>
    <row r="14" customFormat="false" ht="16.5" hidden="false" customHeight="true" outlineLevel="0" collapsed="false">
      <c r="A14" s="102"/>
      <c r="B14" s="110" t="s">
        <v>71</v>
      </c>
      <c r="C14" s="111"/>
      <c r="D14" s="112" t="s">
        <v>72</v>
      </c>
      <c r="E14" s="113"/>
      <c r="F14" s="114"/>
      <c r="G14" s="114"/>
      <c r="H14" s="115"/>
      <c r="J14" s="116"/>
      <c r="K14" s="116"/>
      <c r="L14" s="116"/>
      <c r="M14" s="116"/>
      <c r="N14" s="116"/>
      <c r="O14" s="116"/>
      <c r="P14" s="116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</row>
    <row r="15" customFormat="false" ht="16.5" hidden="false" customHeight="true" outlineLevel="0" collapsed="false">
      <c r="A15" s="102"/>
      <c r="B15" s="117" t="s">
        <v>73</v>
      </c>
      <c r="C15" s="111"/>
      <c r="D15" s="118" t="s">
        <v>74</v>
      </c>
      <c r="E15" s="113" t="s">
        <v>75</v>
      </c>
      <c r="F15" s="119" t="n">
        <v>8319</v>
      </c>
      <c r="G15" s="119" t="n">
        <v>313</v>
      </c>
      <c r="H15" s="115" t="n">
        <f aca="false">IFERROR(SUM($F15:$G15),"")</f>
        <v>8632</v>
      </c>
      <c r="J15" s="120" t="n">
        <v>0.2</v>
      </c>
      <c r="K15" s="121" t="n">
        <f aca="false">+$H15*J15</f>
        <v>1726.4</v>
      </c>
      <c r="L15" s="122" t="n">
        <v>1</v>
      </c>
      <c r="M15" s="122" t="n">
        <v>5</v>
      </c>
      <c r="N15" s="121" t="n">
        <f aca="false">+$H15*L15</f>
        <v>8632</v>
      </c>
      <c r="O15" s="121" t="n">
        <f aca="false">+$H15*M15</f>
        <v>43160</v>
      </c>
      <c r="P15" s="121" t="n">
        <f aca="false">+SUM(N15:O15)</f>
        <v>51792</v>
      </c>
      <c r="R15" s="109"/>
      <c r="S15" s="109" t="n">
        <f aca="false">+R15*$H15</f>
        <v>0</v>
      </c>
      <c r="T15" s="109" t="n">
        <v>0.82</v>
      </c>
      <c r="U15" s="109" t="n">
        <f aca="false">+T15*$H15</f>
        <v>7078.24</v>
      </c>
      <c r="V15" s="109" t="n">
        <f aca="false">+T15*$V$11</f>
        <v>4.1</v>
      </c>
      <c r="W15" s="109" t="n">
        <f aca="false">+V15*$H15</f>
        <v>35391.2</v>
      </c>
      <c r="X15" s="109" t="n">
        <v>0.15</v>
      </c>
      <c r="Y15" s="109" t="n">
        <f aca="false">+X15*$H15</f>
        <v>1294.8</v>
      </c>
      <c r="Z15" s="109" t="n">
        <v>0.41</v>
      </c>
      <c r="AA15" s="109" t="n">
        <f aca="false">+Z15*$H15</f>
        <v>3539.12</v>
      </c>
      <c r="AB15" s="109"/>
      <c r="AC15" s="109" t="n">
        <f aca="false">+AB15*$H15</f>
        <v>0</v>
      </c>
      <c r="AD15" s="109" t="n">
        <f aca="false">+R15+V15+X15+Z15+AB15</f>
        <v>4.66</v>
      </c>
      <c r="AE15" s="109" t="n">
        <f aca="false">+AD15*$H15</f>
        <v>40225.12</v>
      </c>
      <c r="AF15" s="1" t="s">
        <v>76</v>
      </c>
    </row>
    <row r="16" customFormat="false" ht="16.5" hidden="false" customHeight="true" outlineLevel="0" collapsed="false">
      <c r="A16" s="102"/>
      <c r="B16" s="117" t="s">
        <v>77</v>
      </c>
      <c r="C16" s="111"/>
      <c r="D16" s="118" t="s">
        <v>78</v>
      </c>
      <c r="E16" s="113" t="s">
        <v>75</v>
      </c>
      <c r="F16" s="119" t="n">
        <v>16923</v>
      </c>
      <c r="G16" s="119" t="n">
        <v>449</v>
      </c>
      <c r="H16" s="115" t="n">
        <f aca="false">IFERROR(SUM($F16:$G16),"")</f>
        <v>17372</v>
      </c>
      <c r="J16" s="120" t="n">
        <v>0.28</v>
      </c>
      <c r="K16" s="121" t="n">
        <f aca="false">+$H16*J16</f>
        <v>4864.16</v>
      </c>
      <c r="L16" s="122" t="n">
        <v>1.4</v>
      </c>
      <c r="M16" s="122" t="n">
        <v>10.5</v>
      </c>
      <c r="N16" s="121" t="n">
        <f aca="false">+$H16*L16</f>
        <v>24320.8</v>
      </c>
      <c r="O16" s="121" t="n">
        <f aca="false">+$H16*M16</f>
        <v>182406</v>
      </c>
      <c r="P16" s="121" t="n">
        <f aca="false">+SUM(N16:O16)</f>
        <v>206726.8</v>
      </c>
      <c r="R16" s="109"/>
      <c r="S16" s="109" t="n">
        <f aca="false">+R16*$H16</f>
        <v>0</v>
      </c>
      <c r="T16" s="109" t="n">
        <v>0.92</v>
      </c>
      <c r="U16" s="109" t="n">
        <f aca="false">+T16*$H16</f>
        <v>15982.24</v>
      </c>
      <c r="V16" s="109" t="n">
        <f aca="false">+T16*$V$11</f>
        <v>4.6</v>
      </c>
      <c r="W16" s="109" t="n">
        <f aca="false">+V16*$H16</f>
        <v>79911.2</v>
      </c>
      <c r="X16" s="109" t="n">
        <v>0.19</v>
      </c>
      <c r="Y16" s="109" t="n">
        <f aca="false">+X16*$H16</f>
        <v>3300.68</v>
      </c>
      <c r="Z16" s="109" t="n">
        <v>0.53</v>
      </c>
      <c r="AA16" s="109" t="n">
        <f aca="false">+Z16*$H16</f>
        <v>9207.16</v>
      </c>
      <c r="AB16" s="109"/>
      <c r="AC16" s="109" t="n">
        <f aca="false">+AB16*$H16</f>
        <v>0</v>
      </c>
      <c r="AD16" s="109" t="n">
        <f aca="false">+R16+V16+X16+Z16+AB16</f>
        <v>5.32</v>
      </c>
      <c r="AE16" s="109" t="n">
        <f aca="false">+AD16*$H16</f>
        <v>92419.04</v>
      </c>
    </row>
    <row r="17" customFormat="false" ht="16.5" hidden="false" customHeight="true" outlineLevel="0" collapsed="false">
      <c r="A17" s="102"/>
      <c r="B17" s="117" t="s">
        <v>79</v>
      </c>
      <c r="C17" s="111"/>
      <c r="D17" s="118" t="s">
        <v>80</v>
      </c>
      <c r="E17" s="113" t="s">
        <v>75</v>
      </c>
      <c r="F17" s="119" t="n">
        <v>0</v>
      </c>
      <c r="G17" s="119" t="n">
        <v>134</v>
      </c>
      <c r="H17" s="115" t="n">
        <f aca="false">IFERROR(SUM($F17:$G17),"")</f>
        <v>134</v>
      </c>
      <c r="J17" s="120" t="n">
        <v>0.36</v>
      </c>
      <c r="K17" s="121" t="n">
        <f aca="false">+$H17*J17</f>
        <v>48.24</v>
      </c>
      <c r="L17" s="122" t="n">
        <v>1.8</v>
      </c>
      <c r="M17" s="122" t="n">
        <v>19</v>
      </c>
      <c r="N17" s="121" t="n">
        <f aca="false">+$H17*L17</f>
        <v>241.2</v>
      </c>
      <c r="O17" s="121" t="n">
        <f aca="false">+$H17*M17</f>
        <v>2546</v>
      </c>
      <c r="P17" s="121" t="n">
        <f aca="false">+SUM(N17:O17)</f>
        <v>2787.2</v>
      </c>
      <c r="R17" s="109"/>
      <c r="S17" s="109" t="n">
        <f aca="false">+R17*$H17</f>
        <v>0</v>
      </c>
      <c r="T17" s="109"/>
      <c r="U17" s="109" t="n">
        <f aca="false">+T17*$H17</f>
        <v>0</v>
      </c>
      <c r="V17" s="109" t="n">
        <f aca="false">+T17*$V$11</f>
        <v>0</v>
      </c>
      <c r="W17" s="109" t="n">
        <f aca="false">+V17*$H17</f>
        <v>0</v>
      </c>
      <c r="X17" s="109"/>
      <c r="Y17" s="109" t="n">
        <f aca="false">+X17*$H17</f>
        <v>0</v>
      </c>
      <c r="Z17" s="109"/>
      <c r="AA17" s="109" t="n">
        <f aca="false">+Z17*$H17</f>
        <v>0</v>
      </c>
      <c r="AB17" s="109"/>
      <c r="AC17" s="109" t="n">
        <f aca="false">+AB17*$H17</f>
        <v>0</v>
      </c>
      <c r="AD17" s="109" t="n">
        <f aca="false">+R17+V17+X17+Z17+AB17</f>
        <v>0</v>
      </c>
      <c r="AE17" s="109" t="n">
        <f aca="false">+AD17*$H17</f>
        <v>0</v>
      </c>
    </row>
    <row r="18" customFormat="false" ht="16.5" hidden="false" customHeight="true" outlineLevel="0" collapsed="false">
      <c r="A18" s="102"/>
      <c r="B18" s="110" t="s">
        <v>81</v>
      </c>
      <c r="C18" s="111"/>
      <c r="D18" s="123" t="s">
        <v>82</v>
      </c>
      <c r="E18" s="113"/>
      <c r="F18" s="119" t="n">
        <v>0</v>
      </c>
      <c r="G18" s="119" t="n">
        <v>0</v>
      </c>
      <c r="H18" s="115" t="n">
        <f aca="false">IFERROR(SUM($F18:$G18),"")</f>
        <v>0</v>
      </c>
      <c r="J18" s="116"/>
      <c r="K18" s="116"/>
      <c r="L18" s="116"/>
      <c r="M18" s="116"/>
      <c r="N18" s="116"/>
      <c r="O18" s="116"/>
      <c r="P18" s="116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</row>
    <row r="19" customFormat="false" ht="16.5" hidden="false" customHeight="true" outlineLevel="0" collapsed="false">
      <c r="A19" s="102"/>
      <c r="B19" s="117" t="s">
        <v>83</v>
      </c>
      <c r="C19" s="111"/>
      <c r="D19" s="118" t="s">
        <v>84</v>
      </c>
      <c r="E19" s="113" t="s">
        <v>85</v>
      </c>
      <c r="F19" s="119" t="n">
        <v>0</v>
      </c>
      <c r="G19" s="119" t="n">
        <v>0</v>
      </c>
      <c r="H19" s="115" t="n">
        <f aca="false">IFERROR(SUM($F19:$G19),"")</f>
        <v>0</v>
      </c>
      <c r="J19" s="116"/>
      <c r="K19" s="116"/>
      <c r="L19" s="116"/>
      <c r="M19" s="116"/>
      <c r="N19" s="116"/>
      <c r="O19" s="116"/>
      <c r="P19" s="116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</row>
    <row r="20" customFormat="false" ht="16.5" hidden="false" customHeight="true" outlineLevel="0" collapsed="false">
      <c r="A20" s="102"/>
      <c r="B20" s="117" t="s">
        <v>86</v>
      </c>
      <c r="C20" s="111"/>
      <c r="D20" s="118" t="s">
        <v>87</v>
      </c>
      <c r="E20" s="113" t="s">
        <v>85</v>
      </c>
      <c r="F20" s="119" t="n">
        <v>21</v>
      </c>
      <c r="G20" s="119" t="n">
        <v>21</v>
      </c>
      <c r="H20" s="115" t="n">
        <f aca="false">IFERROR(SUM($F20:$G20),"")</f>
        <v>42</v>
      </c>
      <c r="J20" s="120" t="n">
        <v>3.2</v>
      </c>
      <c r="K20" s="121" t="n">
        <f aca="false">+$H20*J20</f>
        <v>134.4</v>
      </c>
      <c r="L20" s="122" t="n">
        <v>16</v>
      </c>
      <c r="M20" s="122" t="n">
        <v>75</v>
      </c>
      <c r="N20" s="121" t="n">
        <f aca="false">+$H20*L20</f>
        <v>672</v>
      </c>
      <c r="O20" s="121" t="n">
        <f aca="false">+$H20*M20</f>
        <v>3150</v>
      </c>
      <c r="P20" s="121" t="n">
        <f aca="false">+SUM(N20:O20)</f>
        <v>3822</v>
      </c>
      <c r="R20" s="109"/>
      <c r="S20" s="109" t="n">
        <f aca="false">+R20*$H20</f>
        <v>0</v>
      </c>
      <c r="T20" s="109"/>
      <c r="U20" s="109" t="n">
        <f aca="false">+T20*$H20</f>
        <v>0</v>
      </c>
      <c r="V20" s="109" t="n">
        <f aca="false">+T20*$V$11</f>
        <v>0</v>
      </c>
      <c r="W20" s="109" t="n">
        <f aca="false">+V20*$H20</f>
        <v>0</v>
      </c>
      <c r="X20" s="109"/>
      <c r="Y20" s="109" t="n">
        <f aca="false">+X20*$H20</f>
        <v>0</v>
      </c>
      <c r="Z20" s="109"/>
      <c r="AA20" s="109" t="n">
        <f aca="false">+Z20*$H20</f>
        <v>0</v>
      </c>
      <c r="AB20" s="109"/>
      <c r="AC20" s="109" t="n">
        <f aca="false">+AB20*$H20</f>
        <v>0</v>
      </c>
      <c r="AD20" s="109" t="n">
        <f aca="false">+R20+V20+X20+Z20+AB20</f>
        <v>0</v>
      </c>
      <c r="AE20" s="109" t="n">
        <f aca="false">+AD20*$H20</f>
        <v>0</v>
      </c>
    </row>
    <row r="21" customFormat="false" ht="16.5" hidden="true" customHeight="true" outlineLevel="0" collapsed="false">
      <c r="A21" s="102"/>
      <c r="B21" s="117" t="s">
        <v>88</v>
      </c>
      <c r="C21" s="111"/>
      <c r="D21" s="118" t="s">
        <v>89</v>
      </c>
      <c r="E21" s="113" t="s">
        <v>85</v>
      </c>
      <c r="F21" s="119" t="n">
        <v>0</v>
      </c>
      <c r="G21" s="119" t="n">
        <v>0</v>
      </c>
      <c r="H21" s="115" t="n">
        <f aca="false">IFERROR(SUM($F21:$G21),"")</f>
        <v>0</v>
      </c>
      <c r="J21" s="116"/>
      <c r="K21" s="116"/>
      <c r="L21" s="116"/>
      <c r="M21" s="116"/>
      <c r="N21" s="116"/>
      <c r="O21" s="116"/>
      <c r="P21" s="116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</row>
    <row r="22" customFormat="false" ht="16.5" hidden="true" customHeight="true" outlineLevel="0" collapsed="false">
      <c r="A22" s="102"/>
      <c r="B22" s="110" t="s">
        <v>90</v>
      </c>
      <c r="C22" s="111"/>
      <c r="D22" s="123" t="s">
        <v>91</v>
      </c>
      <c r="E22" s="113"/>
      <c r="F22" s="119" t="n">
        <v>0</v>
      </c>
      <c r="G22" s="119" t="n">
        <v>0</v>
      </c>
      <c r="H22" s="115" t="n">
        <f aca="false">IFERROR(SUM($F22:$G22),"")</f>
        <v>0</v>
      </c>
      <c r="J22" s="116"/>
      <c r="K22" s="116"/>
      <c r="L22" s="116"/>
      <c r="M22" s="116"/>
      <c r="N22" s="116"/>
      <c r="O22" s="116"/>
      <c r="P22" s="116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</row>
    <row r="23" customFormat="false" ht="16.5" hidden="true" customHeight="true" outlineLevel="0" collapsed="false">
      <c r="A23" s="102"/>
      <c r="B23" s="117" t="s">
        <v>92</v>
      </c>
      <c r="C23" s="111"/>
      <c r="D23" s="118" t="s">
        <v>84</v>
      </c>
      <c r="E23" s="113" t="s">
        <v>85</v>
      </c>
      <c r="F23" s="119" t="n">
        <v>0</v>
      </c>
      <c r="G23" s="119" t="n">
        <v>0</v>
      </c>
      <c r="H23" s="115" t="n">
        <f aca="false">IFERROR(SUM($F23:$G23),"")</f>
        <v>0</v>
      </c>
      <c r="J23" s="116"/>
      <c r="K23" s="116"/>
      <c r="L23" s="116"/>
      <c r="M23" s="116"/>
      <c r="N23" s="116"/>
      <c r="O23" s="116"/>
      <c r="P23" s="116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</row>
    <row r="24" customFormat="false" ht="16.5" hidden="true" customHeight="true" outlineLevel="0" collapsed="false">
      <c r="A24" s="102"/>
      <c r="B24" s="117" t="s">
        <v>93</v>
      </c>
      <c r="C24" s="111"/>
      <c r="D24" s="118" t="s">
        <v>87</v>
      </c>
      <c r="E24" s="113" t="s">
        <v>85</v>
      </c>
      <c r="F24" s="119" t="n">
        <v>0</v>
      </c>
      <c r="G24" s="119" t="n">
        <v>0</v>
      </c>
      <c r="H24" s="115" t="n">
        <f aca="false">IFERROR(SUM($F24:$G24),"")</f>
        <v>0</v>
      </c>
      <c r="J24" s="116"/>
      <c r="K24" s="116"/>
      <c r="L24" s="116"/>
      <c r="M24" s="116"/>
      <c r="N24" s="116"/>
      <c r="O24" s="116"/>
      <c r="P24" s="116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</row>
    <row r="25" customFormat="false" ht="16.5" hidden="true" customHeight="true" outlineLevel="0" collapsed="false">
      <c r="A25" s="102"/>
      <c r="B25" s="117" t="s">
        <v>94</v>
      </c>
      <c r="C25" s="111"/>
      <c r="D25" s="118" t="s">
        <v>89</v>
      </c>
      <c r="E25" s="113" t="s">
        <v>85</v>
      </c>
      <c r="F25" s="119" t="n">
        <v>0</v>
      </c>
      <c r="G25" s="119" t="n">
        <v>0</v>
      </c>
      <c r="H25" s="115" t="n">
        <f aca="false">IFERROR(SUM($F25:$G25),"")</f>
        <v>0</v>
      </c>
      <c r="J25" s="116"/>
      <c r="K25" s="116"/>
      <c r="L25" s="116"/>
      <c r="M25" s="116"/>
      <c r="N25" s="116"/>
      <c r="O25" s="116"/>
      <c r="P25" s="116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</row>
    <row r="26" customFormat="false" ht="16.5" hidden="false" customHeight="true" outlineLevel="0" collapsed="false">
      <c r="A26" s="102"/>
      <c r="B26" s="110" t="s">
        <v>95</v>
      </c>
      <c r="C26" s="111"/>
      <c r="D26" s="123" t="s">
        <v>96</v>
      </c>
      <c r="E26" s="113"/>
      <c r="F26" s="119" t="n">
        <v>0</v>
      </c>
      <c r="G26" s="119" t="n">
        <v>0</v>
      </c>
      <c r="H26" s="115" t="n">
        <f aca="false">IFERROR(SUM($F26:$G26),"")</f>
        <v>0</v>
      </c>
      <c r="J26" s="116"/>
      <c r="K26" s="116"/>
      <c r="L26" s="116"/>
      <c r="M26" s="116"/>
      <c r="N26" s="116"/>
      <c r="O26" s="116"/>
      <c r="P26" s="116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</row>
    <row r="27" customFormat="false" ht="16.5" hidden="false" customHeight="true" outlineLevel="0" collapsed="false">
      <c r="A27" s="102"/>
      <c r="B27" s="117" t="s">
        <v>97</v>
      </c>
      <c r="C27" s="111"/>
      <c r="D27" s="118" t="s">
        <v>98</v>
      </c>
      <c r="E27" s="113" t="s">
        <v>85</v>
      </c>
      <c r="F27" s="119" t="n">
        <v>236</v>
      </c>
      <c r="G27" s="119" t="n">
        <v>19</v>
      </c>
      <c r="H27" s="115" t="n">
        <f aca="false">IFERROR(SUM($F27:$G27),"")</f>
        <v>255</v>
      </c>
      <c r="J27" s="120" t="n">
        <v>4</v>
      </c>
      <c r="K27" s="121" t="n">
        <f aca="false">+$H27*J27</f>
        <v>1020</v>
      </c>
      <c r="L27" s="122" t="n">
        <v>20</v>
      </c>
      <c r="M27" s="122" t="n">
        <v>38</v>
      </c>
      <c r="N27" s="121" t="n">
        <f aca="false">+$H27*L27</f>
        <v>5100</v>
      </c>
      <c r="O27" s="121" t="n">
        <f aca="false">+$H27*M27</f>
        <v>9690</v>
      </c>
      <c r="P27" s="121" t="n">
        <f aca="false">+SUM(N27:O27)</f>
        <v>14790</v>
      </c>
      <c r="R27" s="109"/>
      <c r="S27" s="109" t="n">
        <f aca="false">+R27*$H27</f>
        <v>0</v>
      </c>
      <c r="T27" s="109"/>
      <c r="U27" s="109" t="n">
        <f aca="false">+T27*$H27</f>
        <v>0</v>
      </c>
      <c r="V27" s="109" t="n">
        <f aca="false">+T27*$V$11</f>
        <v>0</v>
      </c>
      <c r="W27" s="109" t="n">
        <f aca="false">+V27*$H27</f>
        <v>0</v>
      </c>
      <c r="X27" s="109"/>
      <c r="Y27" s="109" t="n">
        <f aca="false">+X27*$H27</f>
        <v>0</v>
      </c>
      <c r="Z27" s="109"/>
      <c r="AA27" s="109" t="n">
        <f aca="false">+Z27*$H27</f>
        <v>0</v>
      </c>
      <c r="AB27" s="109"/>
      <c r="AC27" s="109" t="n">
        <f aca="false">+AB27*$H27</f>
        <v>0</v>
      </c>
      <c r="AD27" s="109" t="n">
        <f aca="false">+R27+V27+X27+Z27+AB27</f>
        <v>0</v>
      </c>
      <c r="AE27" s="109" t="n">
        <f aca="false">+AD27*$H27</f>
        <v>0</v>
      </c>
    </row>
    <row r="28" customFormat="false" ht="16.5" hidden="true" customHeight="true" outlineLevel="0" collapsed="false">
      <c r="A28" s="102"/>
      <c r="B28" s="117" t="s">
        <v>99</v>
      </c>
      <c r="C28" s="111"/>
      <c r="D28" s="118" t="s">
        <v>100</v>
      </c>
      <c r="E28" s="113" t="s">
        <v>85</v>
      </c>
      <c r="F28" s="119" t="n">
        <v>0</v>
      </c>
      <c r="G28" s="119" t="n">
        <v>0</v>
      </c>
      <c r="H28" s="115" t="n">
        <f aca="false">IFERROR(SUM($F28:$G28),"")</f>
        <v>0</v>
      </c>
      <c r="J28" s="116"/>
      <c r="K28" s="116"/>
      <c r="L28" s="116"/>
      <c r="M28" s="116"/>
      <c r="N28" s="116"/>
      <c r="O28" s="116"/>
      <c r="P28" s="116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</row>
    <row r="29" customFormat="false" ht="16.5" hidden="false" customHeight="true" outlineLevel="0" collapsed="false">
      <c r="A29" s="102"/>
      <c r="B29" s="117" t="s">
        <v>101</v>
      </c>
      <c r="C29" s="111"/>
      <c r="D29" s="118" t="s">
        <v>102</v>
      </c>
      <c r="E29" s="113" t="s">
        <v>75</v>
      </c>
      <c r="F29" s="119" t="n">
        <v>0</v>
      </c>
      <c r="G29" s="119" t="n">
        <v>77</v>
      </c>
      <c r="H29" s="115" t="n">
        <f aca="false">IFERROR(SUM($F29:$G29),"")</f>
        <v>77</v>
      </c>
      <c r="J29" s="120" t="n">
        <v>1</v>
      </c>
      <c r="K29" s="121" t="n">
        <f aca="false">+$H29*J29</f>
        <v>77</v>
      </c>
      <c r="L29" s="122" t="n">
        <v>5</v>
      </c>
      <c r="M29" s="122" t="n">
        <v>15</v>
      </c>
      <c r="N29" s="121" t="n">
        <f aca="false">+$H29*L29</f>
        <v>385</v>
      </c>
      <c r="O29" s="121" t="n">
        <f aca="false">+$H29*M29</f>
        <v>1155</v>
      </c>
      <c r="P29" s="121" t="n">
        <f aca="false">+SUM(N29:O29)</f>
        <v>1540</v>
      </c>
      <c r="R29" s="109"/>
      <c r="S29" s="109" t="n">
        <f aca="false">+R29*$H29</f>
        <v>0</v>
      </c>
      <c r="T29" s="109"/>
      <c r="U29" s="109" t="n">
        <f aca="false">+T29*$H29</f>
        <v>0</v>
      </c>
      <c r="V29" s="109" t="n">
        <f aca="false">+T29*$V$11</f>
        <v>0</v>
      </c>
      <c r="W29" s="109" t="n">
        <f aca="false">+V29*$H29</f>
        <v>0</v>
      </c>
      <c r="X29" s="109"/>
      <c r="Y29" s="109" t="n">
        <f aca="false">+X29*$H29</f>
        <v>0</v>
      </c>
      <c r="Z29" s="109"/>
      <c r="AA29" s="109" t="n">
        <f aca="false">+Z29*$H29</f>
        <v>0</v>
      </c>
      <c r="AB29" s="109"/>
      <c r="AC29" s="109" t="n">
        <f aca="false">+AB29*$H29</f>
        <v>0</v>
      </c>
      <c r="AD29" s="109" t="n">
        <f aca="false">+R29+V29+X29+Z29+AB29</f>
        <v>0</v>
      </c>
      <c r="AE29" s="109" t="n">
        <f aca="false">+AD29*$H29</f>
        <v>0</v>
      </c>
    </row>
    <row r="30" customFormat="false" ht="16.5" hidden="false" customHeight="true" outlineLevel="0" collapsed="false">
      <c r="A30" s="102"/>
      <c r="B30" s="110" t="s">
        <v>103</v>
      </c>
      <c r="C30" s="111"/>
      <c r="D30" s="123" t="s">
        <v>104</v>
      </c>
      <c r="E30" s="113"/>
      <c r="F30" s="119" t="n">
        <v>0</v>
      </c>
      <c r="G30" s="119" t="n">
        <v>0</v>
      </c>
      <c r="H30" s="115" t="n">
        <f aca="false">IFERROR(SUM($F30:$G30),"")</f>
        <v>0</v>
      </c>
      <c r="J30" s="116"/>
      <c r="K30" s="116"/>
      <c r="L30" s="116"/>
      <c r="M30" s="116"/>
      <c r="N30" s="116"/>
      <c r="O30" s="116"/>
      <c r="P30" s="116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</row>
    <row r="31" customFormat="false" ht="16.5" hidden="false" customHeight="true" outlineLevel="0" collapsed="false">
      <c r="A31" s="102"/>
      <c r="B31" s="117" t="s">
        <v>105</v>
      </c>
      <c r="C31" s="111"/>
      <c r="D31" s="118" t="s">
        <v>74</v>
      </c>
      <c r="E31" s="113" t="s">
        <v>75</v>
      </c>
      <c r="F31" s="119" t="n">
        <v>16814</v>
      </c>
      <c r="G31" s="119" t="n">
        <v>163</v>
      </c>
      <c r="H31" s="115" t="n">
        <f aca="false">IFERROR(SUM($F31:$G31),"")</f>
        <v>16977</v>
      </c>
      <c r="J31" s="120" t="n">
        <v>0.25</v>
      </c>
      <c r="K31" s="121" t="n">
        <f aca="false">+$H31*J31</f>
        <v>4244.25</v>
      </c>
      <c r="L31" s="122" t="n">
        <v>1.25</v>
      </c>
      <c r="M31" s="122" t="n">
        <v>5</v>
      </c>
      <c r="N31" s="121" t="n">
        <f aca="false">+$H31*L31</f>
        <v>21221.25</v>
      </c>
      <c r="O31" s="121" t="n">
        <f aca="false">+$H31*M31</f>
        <v>84885</v>
      </c>
      <c r="P31" s="121" t="n">
        <f aca="false">+SUM(N31:O31)</f>
        <v>106106.25</v>
      </c>
      <c r="R31" s="109"/>
      <c r="S31" s="109" t="n">
        <f aca="false">+R31*$H31</f>
        <v>0</v>
      </c>
      <c r="T31" s="109"/>
      <c r="U31" s="109" t="n">
        <f aca="false">+T31*$H31</f>
        <v>0</v>
      </c>
      <c r="V31" s="109" t="n">
        <f aca="false">+T31*$V$11</f>
        <v>0</v>
      </c>
      <c r="W31" s="109" t="n">
        <f aca="false">+V31*$H31</f>
        <v>0</v>
      </c>
      <c r="X31" s="109"/>
      <c r="Y31" s="109" t="n">
        <f aca="false">+X31*$H31</f>
        <v>0</v>
      </c>
      <c r="Z31" s="109"/>
      <c r="AA31" s="109" t="n">
        <f aca="false">+Z31*$H31</f>
        <v>0</v>
      </c>
      <c r="AB31" s="109"/>
      <c r="AC31" s="109" t="n">
        <f aca="false">+AB31*$H31</f>
        <v>0</v>
      </c>
      <c r="AD31" s="109" t="n">
        <f aca="false">+R31+V31+X31+Z31+AB31</f>
        <v>0</v>
      </c>
      <c r="AE31" s="109" t="n">
        <f aca="false">+AD31*$H31</f>
        <v>0</v>
      </c>
    </row>
    <row r="32" customFormat="false" ht="16.5" hidden="false" customHeight="true" outlineLevel="0" collapsed="false">
      <c r="A32" s="102"/>
      <c r="B32" s="117" t="s">
        <v>106</v>
      </c>
      <c r="C32" s="111"/>
      <c r="D32" s="118" t="s">
        <v>78</v>
      </c>
      <c r="E32" s="113" t="s">
        <v>75</v>
      </c>
      <c r="F32" s="119" t="n">
        <v>11535</v>
      </c>
      <c r="G32" s="119" t="n">
        <v>1182</v>
      </c>
      <c r="H32" s="115" t="n">
        <f aca="false">IFERROR(SUM($F32:$G32),"")</f>
        <v>12717</v>
      </c>
      <c r="J32" s="120" t="n">
        <v>0.32</v>
      </c>
      <c r="K32" s="121" t="n">
        <f aca="false">+$H32*J32</f>
        <v>4069.44</v>
      </c>
      <c r="L32" s="122" t="n">
        <v>1.6</v>
      </c>
      <c r="M32" s="122" t="n">
        <v>10.5</v>
      </c>
      <c r="N32" s="121" t="n">
        <f aca="false">+$H32*L32</f>
        <v>20347.2</v>
      </c>
      <c r="O32" s="121" t="n">
        <f aca="false">+$H32*M32</f>
        <v>133528.5</v>
      </c>
      <c r="P32" s="121" t="n">
        <f aca="false">+SUM(N32:O32)</f>
        <v>153875.7</v>
      </c>
      <c r="R32" s="109"/>
      <c r="S32" s="109" t="n">
        <f aca="false">+R32*$H32</f>
        <v>0</v>
      </c>
      <c r="T32" s="109"/>
      <c r="U32" s="109" t="n">
        <f aca="false">+T32*$H32</f>
        <v>0</v>
      </c>
      <c r="V32" s="109" t="n">
        <f aca="false">+T32*$V$11</f>
        <v>0</v>
      </c>
      <c r="W32" s="109" t="n">
        <f aca="false">+V32*$H32</f>
        <v>0</v>
      </c>
      <c r="X32" s="109"/>
      <c r="Y32" s="109" t="n">
        <f aca="false">+X32*$H32</f>
        <v>0</v>
      </c>
      <c r="Z32" s="109"/>
      <c r="AA32" s="109" t="n">
        <f aca="false">+Z32*$H32</f>
        <v>0</v>
      </c>
      <c r="AB32" s="109"/>
      <c r="AC32" s="109" t="n">
        <f aca="false">+AB32*$H32</f>
        <v>0</v>
      </c>
      <c r="AD32" s="109" t="n">
        <f aca="false">+R32+V32+X32+Z32+AB32</f>
        <v>0</v>
      </c>
      <c r="AE32" s="109" t="n">
        <f aca="false">+AD32*$H32</f>
        <v>0</v>
      </c>
    </row>
    <row r="33" customFormat="false" ht="16.5" hidden="false" customHeight="true" outlineLevel="0" collapsed="false">
      <c r="A33" s="102"/>
      <c r="B33" s="117" t="s">
        <v>107</v>
      </c>
      <c r="C33" s="111"/>
      <c r="D33" s="118" t="s">
        <v>80</v>
      </c>
      <c r="E33" s="113" t="s">
        <v>75</v>
      </c>
      <c r="F33" s="119" t="n">
        <v>0</v>
      </c>
      <c r="G33" s="119" t="n">
        <v>190</v>
      </c>
      <c r="H33" s="115" t="n">
        <f aca="false">IFERROR(SUM($F33:$G33),"")</f>
        <v>190</v>
      </c>
      <c r="J33" s="120" t="n">
        <v>0.4</v>
      </c>
      <c r="K33" s="121" t="n">
        <f aca="false">+$H33*J33</f>
        <v>76</v>
      </c>
      <c r="L33" s="122" t="n">
        <v>2</v>
      </c>
      <c r="M33" s="122" t="n">
        <v>19</v>
      </c>
      <c r="N33" s="121" t="n">
        <f aca="false">+$H33*L33</f>
        <v>380</v>
      </c>
      <c r="O33" s="121" t="n">
        <f aca="false">+$H33*M33</f>
        <v>3610</v>
      </c>
      <c r="P33" s="121" t="n">
        <f aca="false">+SUM(N33:O33)</f>
        <v>3990</v>
      </c>
      <c r="R33" s="109"/>
      <c r="S33" s="109" t="n">
        <f aca="false">+R33*$H33</f>
        <v>0</v>
      </c>
      <c r="T33" s="109"/>
      <c r="U33" s="109" t="n">
        <f aca="false">+T33*$H33</f>
        <v>0</v>
      </c>
      <c r="V33" s="109" t="n">
        <f aca="false">+T33*$V$11</f>
        <v>0</v>
      </c>
      <c r="W33" s="109" t="n">
        <f aca="false">+V33*$H33</f>
        <v>0</v>
      </c>
      <c r="X33" s="109"/>
      <c r="Y33" s="109" t="n">
        <f aca="false">+X33*$H33</f>
        <v>0</v>
      </c>
      <c r="Z33" s="109"/>
      <c r="AA33" s="109" t="n">
        <f aca="false">+Z33*$H33</f>
        <v>0</v>
      </c>
      <c r="AB33" s="109"/>
      <c r="AC33" s="109" t="n">
        <f aca="false">+AB33*$H33</f>
        <v>0</v>
      </c>
      <c r="AD33" s="109" t="n">
        <f aca="false">+R33+V33+X33+Z33+AB33</f>
        <v>0</v>
      </c>
      <c r="AE33" s="109" t="n">
        <f aca="false">+AD33*$H33</f>
        <v>0</v>
      </c>
    </row>
    <row r="34" customFormat="false" ht="16.5" hidden="false" customHeight="true" outlineLevel="0" collapsed="false">
      <c r="A34" s="102"/>
      <c r="B34" s="110" t="s">
        <v>108</v>
      </c>
      <c r="C34" s="111"/>
      <c r="D34" s="123" t="s">
        <v>109</v>
      </c>
      <c r="E34" s="113"/>
      <c r="F34" s="119" t="n">
        <v>0</v>
      </c>
      <c r="G34" s="119" t="n">
        <v>0</v>
      </c>
      <c r="H34" s="115" t="n">
        <f aca="false">IFERROR(SUM($F34:$G34),"")</f>
        <v>0</v>
      </c>
      <c r="J34" s="116"/>
      <c r="K34" s="116"/>
      <c r="L34" s="116"/>
      <c r="M34" s="116"/>
      <c r="N34" s="116"/>
      <c r="O34" s="116"/>
      <c r="P34" s="116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</row>
    <row r="35" customFormat="false" ht="16.5" hidden="false" customHeight="true" outlineLevel="0" collapsed="false">
      <c r="A35" s="102"/>
      <c r="B35" s="117" t="s">
        <v>110</v>
      </c>
      <c r="C35" s="111"/>
      <c r="D35" s="118" t="s">
        <v>74</v>
      </c>
      <c r="E35" s="113" t="s">
        <v>85</v>
      </c>
      <c r="F35" s="119" t="n">
        <v>3677</v>
      </c>
      <c r="G35" s="119" t="n">
        <v>103</v>
      </c>
      <c r="H35" s="115" t="n">
        <f aca="false">IFERROR(SUM($F35:$G35),"")</f>
        <v>3780</v>
      </c>
      <c r="J35" s="120" t="n">
        <v>1.2</v>
      </c>
      <c r="K35" s="121" t="n">
        <f aca="false">+$H35*J35</f>
        <v>4536</v>
      </c>
      <c r="L35" s="122" t="n">
        <v>6</v>
      </c>
      <c r="M35" s="122" t="n">
        <v>3.5</v>
      </c>
      <c r="N35" s="121" t="n">
        <f aca="false">+$H35*L35</f>
        <v>22680</v>
      </c>
      <c r="O35" s="121" t="n">
        <f aca="false">+$H35*M35</f>
        <v>13230</v>
      </c>
      <c r="P35" s="121" t="n">
        <f aca="false">+SUM(N35:O35)</f>
        <v>35910</v>
      </c>
      <c r="R35" s="109"/>
      <c r="S35" s="109" t="n">
        <f aca="false">+R35*$H35</f>
        <v>0</v>
      </c>
      <c r="T35" s="109"/>
      <c r="U35" s="109" t="n">
        <f aca="false">+T35*$H35</f>
        <v>0</v>
      </c>
      <c r="V35" s="109" t="n">
        <f aca="false">+T35*$V$11</f>
        <v>0</v>
      </c>
      <c r="W35" s="109" t="n">
        <f aca="false">+V35*$H35</f>
        <v>0</v>
      </c>
      <c r="X35" s="109"/>
      <c r="Y35" s="109" t="n">
        <f aca="false">+X35*$H35</f>
        <v>0</v>
      </c>
      <c r="Z35" s="109"/>
      <c r="AA35" s="109" t="n">
        <f aca="false">+Z35*$H35</f>
        <v>0</v>
      </c>
      <c r="AB35" s="109"/>
      <c r="AC35" s="109" t="n">
        <f aca="false">+AB35*$H35</f>
        <v>0</v>
      </c>
      <c r="AD35" s="109" t="n">
        <f aca="false">+R35+V35+X35+Z35+AB35</f>
        <v>0</v>
      </c>
      <c r="AE35" s="109" t="n">
        <f aca="false">+AD35*$H35</f>
        <v>0</v>
      </c>
    </row>
    <row r="36" customFormat="false" ht="16.5" hidden="false" customHeight="true" outlineLevel="0" collapsed="false">
      <c r="A36" s="102"/>
      <c r="B36" s="117" t="s">
        <v>111</v>
      </c>
      <c r="C36" s="111"/>
      <c r="D36" s="118" t="s">
        <v>78</v>
      </c>
      <c r="E36" s="113" t="s">
        <v>85</v>
      </c>
      <c r="F36" s="119" t="n">
        <v>782</v>
      </c>
      <c r="G36" s="119" t="n">
        <v>383</v>
      </c>
      <c r="H36" s="115" t="n">
        <f aca="false">IFERROR(SUM($F36:$G36),"")</f>
        <v>1165</v>
      </c>
      <c r="J36" s="120" t="n">
        <v>1.6</v>
      </c>
      <c r="K36" s="121" t="n">
        <f aca="false">+$H36*J36</f>
        <v>1864</v>
      </c>
      <c r="L36" s="122" t="n">
        <v>8</v>
      </c>
      <c r="M36" s="122" t="n">
        <v>6.5</v>
      </c>
      <c r="N36" s="121" t="n">
        <f aca="false">+$H36*L36</f>
        <v>9320</v>
      </c>
      <c r="O36" s="121" t="n">
        <f aca="false">+$H36*M36</f>
        <v>7572.5</v>
      </c>
      <c r="P36" s="121" t="n">
        <f aca="false">+SUM(N36:O36)</f>
        <v>16892.5</v>
      </c>
      <c r="R36" s="109"/>
      <c r="S36" s="109" t="n">
        <f aca="false">+R36*$H36</f>
        <v>0</v>
      </c>
      <c r="T36" s="109"/>
      <c r="U36" s="109" t="n">
        <f aca="false">+T36*$H36</f>
        <v>0</v>
      </c>
      <c r="V36" s="109" t="n">
        <f aca="false">+T36*$V$11</f>
        <v>0</v>
      </c>
      <c r="W36" s="109" t="n">
        <f aca="false">+V36*$H36</f>
        <v>0</v>
      </c>
      <c r="X36" s="109"/>
      <c r="Y36" s="109" t="n">
        <f aca="false">+X36*$H36</f>
        <v>0</v>
      </c>
      <c r="Z36" s="109"/>
      <c r="AA36" s="109" t="n">
        <f aca="false">+Z36*$H36</f>
        <v>0</v>
      </c>
      <c r="AB36" s="109"/>
      <c r="AC36" s="109" t="n">
        <f aca="false">+AB36*$H36</f>
        <v>0</v>
      </c>
      <c r="AD36" s="109" t="n">
        <f aca="false">+R36+V36+X36+Z36+AB36</f>
        <v>0</v>
      </c>
      <c r="AE36" s="109" t="n">
        <f aca="false">+AD36*$H36</f>
        <v>0</v>
      </c>
    </row>
    <row r="37" customFormat="false" ht="16.5" hidden="false" customHeight="true" outlineLevel="0" collapsed="false">
      <c r="A37" s="102"/>
      <c r="B37" s="117" t="s">
        <v>112</v>
      </c>
      <c r="C37" s="111"/>
      <c r="D37" s="118" t="s">
        <v>80</v>
      </c>
      <c r="E37" s="113" t="s">
        <v>85</v>
      </c>
      <c r="F37" s="119" t="n">
        <v>0</v>
      </c>
      <c r="G37" s="119" t="n">
        <v>21</v>
      </c>
      <c r="H37" s="115" t="n">
        <f aca="false">IFERROR(SUM($F37:$G37),"")</f>
        <v>21</v>
      </c>
      <c r="J37" s="120" t="n">
        <v>2</v>
      </c>
      <c r="K37" s="121" t="n">
        <f aca="false">+$H37*J37</f>
        <v>42</v>
      </c>
      <c r="L37" s="122" t="n">
        <v>10</v>
      </c>
      <c r="M37" s="122" t="n">
        <v>11</v>
      </c>
      <c r="N37" s="121" t="n">
        <f aca="false">+$H37*L37</f>
        <v>210</v>
      </c>
      <c r="O37" s="121" t="n">
        <f aca="false">+$H37*M37</f>
        <v>231</v>
      </c>
      <c r="P37" s="121" t="n">
        <f aca="false">+SUM(N37:O37)</f>
        <v>441</v>
      </c>
      <c r="R37" s="109"/>
      <c r="S37" s="109" t="n">
        <f aca="false">+R37*$H37</f>
        <v>0</v>
      </c>
      <c r="T37" s="109"/>
      <c r="U37" s="109" t="n">
        <f aca="false">+T37*$H37</f>
        <v>0</v>
      </c>
      <c r="V37" s="109" t="n">
        <f aca="false">+T37*$V$11</f>
        <v>0</v>
      </c>
      <c r="W37" s="109" t="n">
        <f aca="false">+V37*$H37</f>
        <v>0</v>
      </c>
      <c r="X37" s="109"/>
      <c r="Y37" s="109" t="n">
        <f aca="false">+X37*$H37</f>
        <v>0</v>
      </c>
      <c r="Z37" s="109"/>
      <c r="AA37" s="109" t="n">
        <f aca="false">+Z37*$H37</f>
        <v>0</v>
      </c>
      <c r="AB37" s="109"/>
      <c r="AC37" s="109" t="n">
        <f aca="false">+AB37*$H37</f>
        <v>0</v>
      </c>
      <c r="AD37" s="109" t="n">
        <f aca="false">+R37+V37+X37+Z37+AB37</f>
        <v>0</v>
      </c>
      <c r="AE37" s="109" t="n">
        <f aca="false">+AD37*$H37</f>
        <v>0</v>
      </c>
    </row>
    <row r="38" customFormat="false" ht="16.5" hidden="false" customHeight="true" outlineLevel="0" collapsed="false">
      <c r="A38" s="102"/>
      <c r="B38" s="110" t="s">
        <v>113</v>
      </c>
      <c r="C38" s="111"/>
      <c r="D38" s="123" t="s">
        <v>114</v>
      </c>
      <c r="E38" s="113"/>
      <c r="F38" s="119" t="n">
        <v>0</v>
      </c>
      <c r="G38" s="119" t="n">
        <v>0</v>
      </c>
      <c r="H38" s="115" t="n">
        <f aca="false">IFERROR(SUM($F38:$G38),"")</f>
        <v>0</v>
      </c>
      <c r="J38" s="116"/>
      <c r="K38" s="116"/>
      <c r="L38" s="116"/>
      <c r="M38" s="116"/>
      <c r="N38" s="116"/>
      <c r="O38" s="116"/>
      <c r="P38" s="116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</row>
    <row r="39" customFormat="false" ht="16.5" hidden="false" customHeight="true" outlineLevel="0" collapsed="false">
      <c r="A39" s="102"/>
      <c r="B39" s="117" t="s">
        <v>115</v>
      </c>
      <c r="C39" s="111"/>
      <c r="D39" s="118" t="s">
        <v>116</v>
      </c>
      <c r="E39" s="113" t="s">
        <v>85</v>
      </c>
      <c r="F39" s="119" t="n">
        <v>755</v>
      </c>
      <c r="G39" s="119" t="n">
        <v>13</v>
      </c>
      <c r="H39" s="115" t="n">
        <f aca="false">IFERROR(SUM($F39:$G39),"")</f>
        <v>768</v>
      </c>
      <c r="J39" s="120" t="n">
        <v>0.3</v>
      </c>
      <c r="K39" s="121" t="n">
        <f aca="false">+$H39*J39</f>
        <v>230.4</v>
      </c>
      <c r="L39" s="122" t="n">
        <v>1.5</v>
      </c>
      <c r="M39" s="122" t="n">
        <v>2</v>
      </c>
      <c r="N39" s="121" t="n">
        <f aca="false">+$H39*L39</f>
        <v>1152</v>
      </c>
      <c r="O39" s="121" t="n">
        <f aca="false">+$H39*M39</f>
        <v>1536</v>
      </c>
      <c r="P39" s="121" t="n">
        <f aca="false">+SUM(N39:O39)</f>
        <v>2688</v>
      </c>
      <c r="R39" s="109"/>
      <c r="S39" s="109" t="n">
        <f aca="false">+R39*$H39</f>
        <v>0</v>
      </c>
      <c r="T39" s="109"/>
      <c r="U39" s="109" t="n">
        <f aca="false">+T39*$H39</f>
        <v>0</v>
      </c>
      <c r="V39" s="109" t="n">
        <f aca="false">+T39*$V$11</f>
        <v>0</v>
      </c>
      <c r="W39" s="109" t="n">
        <f aca="false">+V39*$H39</f>
        <v>0</v>
      </c>
      <c r="X39" s="109"/>
      <c r="Y39" s="109" t="n">
        <f aca="false">+X39*$H39</f>
        <v>0</v>
      </c>
      <c r="Z39" s="109"/>
      <c r="AA39" s="109" t="n">
        <f aca="false">+Z39*$H39</f>
        <v>0</v>
      </c>
      <c r="AB39" s="109"/>
      <c r="AC39" s="109" t="n">
        <f aca="false">+AB39*$H39</f>
        <v>0</v>
      </c>
      <c r="AD39" s="109" t="n">
        <f aca="false">+R39+V39+X39+Z39+AB39</f>
        <v>0</v>
      </c>
      <c r="AE39" s="109" t="n">
        <f aca="false">+AD39*$H39</f>
        <v>0</v>
      </c>
    </row>
    <row r="40" customFormat="false" ht="16.5" hidden="true" customHeight="true" outlineLevel="0" collapsed="false">
      <c r="A40" s="102"/>
      <c r="B40" s="117" t="s">
        <v>117</v>
      </c>
      <c r="C40" s="111"/>
      <c r="D40" s="118" t="s">
        <v>118</v>
      </c>
      <c r="E40" s="113" t="s">
        <v>85</v>
      </c>
      <c r="F40" s="119" t="n">
        <v>0</v>
      </c>
      <c r="G40" s="119" t="n">
        <v>0</v>
      </c>
      <c r="H40" s="115" t="n">
        <f aca="false">IFERROR(SUM($F40:$G40),"")</f>
        <v>0</v>
      </c>
      <c r="J40" s="116"/>
      <c r="K40" s="116"/>
      <c r="L40" s="116"/>
      <c r="M40" s="116"/>
      <c r="N40" s="116"/>
      <c r="O40" s="116"/>
      <c r="P40" s="116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</row>
    <row r="41" customFormat="false" ht="16.5" hidden="false" customHeight="true" outlineLevel="0" collapsed="false">
      <c r="A41" s="102"/>
      <c r="B41" s="110" t="s">
        <v>119</v>
      </c>
      <c r="C41" s="111"/>
      <c r="D41" s="123" t="s">
        <v>120</v>
      </c>
      <c r="E41" s="113"/>
      <c r="F41" s="119" t="n">
        <v>0</v>
      </c>
      <c r="G41" s="119" t="n">
        <v>0</v>
      </c>
      <c r="H41" s="115" t="n">
        <f aca="false">IFERROR(SUM($F41:$G41),"")</f>
        <v>0</v>
      </c>
      <c r="J41" s="116"/>
      <c r="K41" s="116"/>
      <c r="L41" s="116"/>
      <c r="M41" s="116"/>
      <c r="N41" s="116"/>
      <c r="O41" s="116"/>
      <c r="P41" s="116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</row>
    <row r="42" customFormat="false" ht="16.5" hidden="false" customHeight="true" outlineLevel="0" collapsed="false">
      <c r="A42" s="102"/>
      <c r="B42" s="117" t="s">
        <v>121</v>
      </c>
      <c r="C42" s="111"/>
      <c r="D42" s="118" t="s">
        <v>122</v>
      </c>
      <c r="E42" s="113" t="s">
        <v>75</v>
      </c>
      <c r="F42" s="119" t="n">
        <v>756</v>
      </c>
      <c r="G42" s="119" t="n">
        <v>0</v>
      </c>
      <c r="H42" s="115" t="n">
        <f aca="false">IFERROR(SUM($F42:$G42),"")</f>
        <v>756</v>
      </c>
      <c r="J42" s="120" t="n">
        <v>0.28</v>
      </c>
      <c r="K42" s="121" t="n">
        <f aca="false">+$H42*J42</f>
        <v>211.68</v>
      </c>
      <c r="L42" s="122" t="n">
        <v>1.4</v>
      </c>
      <c r="M42" s="122" t="n">
        <v>8</v>
      </c>
      <c r="N42" s="121" t="n">
        <f aca="false">+$H42*L42</f>
        <v>1058.4</v>
      </c>
      <c r="O42" s="121" t="n">
        <f aca="false">+$H42*M42</f>
        <v>6048</v>
      </c>
      <c r="P42" s="121" t="n">
        <f aca="false">+SUM(N42:O42)</f>
        <v>7106.4</v>
      </c>
      <c r="R42" s="109"/>
      <c r="S42" s="109" t="n">
        <f aca="false">+R42*$H42</f>
        <v>0</v>
      </c>
      <c r="T42" s="109"/>
      <c r="U42" s="109" t="n">
        <f aca="false">+T42*$H42</f>
        <v>0</v>
      </c>
      <c r="V42" s="109" t="n">
        <f aca="false">+T42*$V$11</f>
        <v>0</v>
      </c>
      <c r="W42" s="109" t="n">
        <f aca="false">+V42*$H42</f>
        <v>0</v>
      </c>
      <c r="X42" s="109"/>
      <c r="Y42" s="109" t="n">
        <f aca="false">+X42*$H42</f>
        <v>0</v>
      </c>
      <c r="Z42" s="109"/>
      <c r="AA42" s="109" t="n">
        <f aca="false">+Z42*$H42</f>
        <v>0</v>
      </c>
      <c r="AB42" s="109"/>
      <c r="AC42" s="109" t="n">
        <f aca="false">+AB42*$H42</f>
        <v>0</v>
      </c>
      <c r="AD42" s="109" t="n">
        <f aca="false">+R42+V42+X42+Z42+AB42</f>
        <v>0</v>
      </c>
      <c r="AE42" s="109" t="n">
        <f aca="false">+AD42*$H42</f>
        <v>0</v>
      </c>
    </row>
    <row r="43" customFormat="false" ht="16.5" hidden="true" customHeight="true" outlineLevel="0" collapsed="false">
      <c r="A43" s="102"/>
      <c r="B43" s="117" t="s">
        <v>123</v>
      </c>
      <c r="C43" s="111"/>
      <c r="D43" s="118" t="s">
        <v>124</v>
      </c>
      <c r="E43" s="113" t="s">
        <v>75</v>
      </c>
      <c r="F43" s="119" t="n">
        <v>0</v>
      </c>
      <c r="G43" s="119" t="n">
        <v>0</v>
      </c>
      <c r="H43" s="115" t="n">
        <f aca="false">IFERROR(SUM($F43:$G43),"")</f>
        <v>0</v>
      </c>
      <c r="J43" s="116"/>
      <c r="K43" s="116"/>
      <c r="L43" s="116"/>
      <c r="M43" s="116"/>
      <c r="N43" s="116"/>
      <c r="O43" s="116"/>
      <c r="P43" s="116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</row>
    <row r="44" customFormat="false" ht="16.5" hidden="false" customHeight="true" outlineLevel="0" collapsed="false">
      <c r="A44" s="102"/>
      <c r="B44" s="117" t="s">
        <v>125</v>
      </c>
      <c r="C44" s="111"/>
      <c r="D44" s="118" t="s">
        <v>126</v>
      </c>
      <c r="E44" s="113" t="s">
        <v>85</v>
      </c>
      <c r="F44" s="119" t="n">
        <v>10</v>
      </c>
      <c r="G44" s="119" t="n">
        <v>0</v>
      </c>
      <c r="H44" s="115" t="n">
        <f aca="false">IFERROR(SUM($F44:$G44),"")</f>
        <v>10</v>
      </c>
      <c r="J44" s="120" t="n">
        <v>1.6</v>
      </c>
      <c r="K44" s="121" t="n">
        <f aca="false">+$H44*J44</f>
        <v>16</v>
      </c>
      <c r="L44" s="122" t="n">
        <v>8</v>
      </c>
      <c r="M44" s="122" t="n">
        <v>45</v>
      </c>
      <c r="N44" s="121" t="n">
        <f aca="false">+$H44*L44</f>
        <v>80</v>
      </c>
      <c r="O44" s="121" t="n">
        <f aca="false">+$H44*M44</f>
        <v>450</v>
      </c>
      <c r="P44" s="121" t="n">
        <f aca="false">+SUM(N44:O44)</f>
        <v>530</v>
      </c>
      <c r="R44" s="109"/>
      <c r="S44" s="109" t="n">
        <f aca="false">+R44*$H44</f>
        <v>0</v>
      </c>
      <c r="T44" s="109"/>
      <c r="U44" s="109" t="n">
        <f aca="false">+T44*$H44</f>
        <v>0</v>
      </c>
      <c r="V44" s="109" t="n">
        <f aca="false">+T44*$V$11</f>
        <v>0</v>
      </c>
      <c r="W44" s="109" t="n">
        <f aca="false">+V44*$H44</f>
        <v>0</v>
      </c>
      <c r="X44" s="109"/>
      <c r="Y44" s="109" t="n">
        <f aca="false">+X44*$H44</f>
        <v>0</v>
      </c>
      <c r="Z44" s="109"/>
      <c r="AA44" s="109" t="n">
        <f aca="false">+Z44*$H44</f>
        <v>0</v>
      </c>
      <c r="AB44" s="109"/>
      <c r="AC44" s="109" t="n">
        <f aca="false">+AB44*$H44</f>
        <v>0</v>
      </c>
      <c r="AD44" s="109" t="n">
        <f aca="false">+R44+V44+X44+Z44+AB44</f>
        <v>0</v>
      </c>
      <c r="AE44" s="109" t="n">
        <f aca="false">+AD44*$H44</f>
        <v>0</v>
      </c>
    </row>
    <row r="45" customFormat="false" ht="16.5" hidden="true" customHeight="true" outlineLevel="0" collapsed="false">
      <c r="A45" s="102"/>
      <c r="B45" s="117" t="s">
        <v>127</v>
      </c>
      <c r="C45" s="111"/>
      <c r="D45" s="118" t="s">
        <v>128</v>
      </c>
      <c r="E45" s="113" t="s">
        <v>85</v>
      </c>
      <c r="F45" s="119" t="n">
        <v>0</v>
      </c>
      <c r="G45" s="119" t="n">
        <v>0</v>
      </c>
      <c r="H45" s="115" t="n">
        <f aca="false">IFERROR(SUM($F45:$G45),"")</f>
        <v>0</v>
      </c>
      <c r="J45" s="116"/>
      <c r="K45" s="116"/>
      <c r="L45" s="116"/>
      <c r="M45" s="116"/>
      <c r="N45" s="116"/>
      <c r="O45" s="116"/>
      <c r="P45" s="116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</row>
    <row r="46" customFormat="false" ht="16.5" hidden="true" customHeight="true" outlineLevel="0" collapsed="false">
      <c r="A46" s="102"/>
      <c r="B46" s="117" t="s">
        <v>129</v>
      </c>
      <c r="C46" s="111"/>
      <c r="D46" s="118" t="s">
        <v>130</v>
      </c>
      <c r="E46" s="113" t="s">
        <v>85</v>
      </c>
      <c r="F46" s="119" t="n">
        <v>0</v>
      </c>
      <c r="G46" s="119" t="n">
        <v>0</v>
      </c>
      <c r="H46" s="115" t="n">
        <f aca="false">IFERROR(SUM($F46:$G46),"")</f>
        <v>0</v>
      </c>
      <c r="J46" s="116"/>
      <c r="K46" s="116"/>
      <c r="L46" s="116"/>
      <c r="M46" s="116"/>
      <c r="N46" s="116"/>
      <c r="O46" s="116"/>
      <c r="P46" s="116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</row>
    <row r="47" customFormat="false" ht="16.5" hidden="false" customHeight="true" outlineLevel="0" collapsed="false">
      <c r="A47" s="102"/>
      <c r="B47" s="117"/>
      <c r="C47" s="111"/>
      <c r="D47" s="118"/>
      <c r="E47" s="113"/>
      <c r="F47" s="119" t="n">
        <v>0</v>
      </c>
      <c r="G47" s="119" t="n">
        <v>0</v>
      </c>
      <c r="H47" s="115" t="n">
        <f aca="false">IFERROR(SUM($F47:$G47),"")</f>
        <v>0</v>
      </c>
      <c r="J47" s="116"/>
      <c r="K47" s="116"/>
      <c r="L47" s="116"/>
      <c r="M47" s="116"/>
      <c r="N47" s="116"/>
      <c r="O47" s="116"/>
      <c r="P47" s="116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</row>
    <row r="48" customFormat="false" ht="16.5" hidden="false" customHeight="true" outlineLevel="0" collapsed="false">
      <c r="A48" s="102"/>
      <c r="B48" s="124"/>
      <c r="C48" s="125"/>
      <c r="D48" s="126"/>
      <c r="E48" s="127"/>
      <c r="F48" s="119" t="n">
        <v>0</v>
      </c>
      <c r="G48" s="119" t="n">
        <v>0</v>
      </c>
      <c r="H48" s="115" t="n">
        <f aca="false">IFERROR(SUM($F48:$G48),"")</f>
        <v>0</v>
      </c>
      <c r="J48" s="116"/>
      <c r="K48" s="116"/>
      <c r="L48" s="116"/>
      <c r="M48" s="116"/>
      <c r="N48" s="116"/>
      <c r="O48" s="116"/>
      <c r="P48" s="116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</row>
    <row r="49" customFormat="false" ht="16.5" hidden="false" customHeight="true" outlineLevel="0" collapsed="false">
      <c r="A49" s="102"/>
      <c r="B49" s="128"/>
      <c r="C49" s="128"/>
      <c r="D49" s="128"/>
      <c r="E49" s="129"/>
      <c r="F49" s="130" t="n">
        <v>0</v>
      </c>
      <c r="G49" s="130" t="n">
        <v>0</v>
      </c>
      <c r="H49" s="131" t="n">
        <f aca="false">IFERROR(SUM($F49:$G49),"")</f>
        <v>0</v>
      </c>
      <c r="J49" s="116"/>
      <c r="K49" s="116"/>
      <c r="L49" s="116"/>
      <c r="M49" s="116"/>
      <c r="N49" s="116"/>
      <c r="O49" s="116"/>
      <c r="P49" s="116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</row>
    <row r="50" customFormat="false" ht="16.5" hidden="false" customHeight="true" outlineLevel="0" collapsed="false">
      <c r="A50" s="102"/>
      <c r="B50" s="132"/>
      <c r="C50" s="104"/>
      <c r="D50" s="133"/>
      <c r="E50" s="134"/>
      <c r="F50" s="135"/>
      <c r="G50" s="135"/>
      <c r="H50" s="136" t="n">
        <f aca="false">IFERROR(SUM($F50:$G50),"")</f>
        <v>0</v>
      </c>
      <c r="J50" s="116"/>
      <c r="K50" s="116"/>
      <c r="L50" s="116"/>
      <c r="M50" s="116"/>
      <c r="N50" s="116"/>
      <c r="O50" s="116"/>
      <c r="P50" s="116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</row>
    <row r="51" customFormat="false" ht="16.5" hidden="false" customHeight="true" outlineLevel="0" collapsed="false">
      <c r="A51" s="102"/>
      <c r="B51" s="137"/>
      <c r="C51" s="137"/>
      <c r="D51" s="137"/>
      <c r="E51" s="138"/>
      <c r="F51" s="139" t="n">
        <v>0</v>
      </c>
      <c r="G51" s="139" t="n">
        <v>0</v>
      </c>
      <c r="H51" s="140" t="n">
        <f aca="false">IFERROR(SUM($F51:$G51),"")</f>
        <v>0</v>
      </c>
      <c r="J51" s="116"/>
      <c r="K51" s="116"/>
      <c r="L51" s="116"/>
      <c r="M51" s="116"/>
      <c r="N51" s="116"/>
      <c r="O51" s="116"/>
      <c r="P51" s="116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</row>
    <row r="52" customFormat="false" ht="16.5" hidden="false" customHeight="true" outlineLevel="0" collapsed="false">
      <c r="A52" s="102"/>
      <c r="B52" s="124"/>
      <c r="C52" s="141"/>
      <c r="D52" s="141"/>
      <c r="E52" s="127"/>
      <c r="F52" s="142" t="n">
        <v>0</v>
      </c>
      <c r="G52" s="142" t="n">
        <v>0</v>
      </c>
      <c r="H52" s="143" t="n">
        <f aca="false">IFERROR(SUM($F52:$G52),"")</f>
        <v>0</v>
      </c>
      <c r="J52" s="116"/>
      <c r="K52" s="116"/>
      <c r="L52" s="116"/>
      <c r="M52" s="116"/>
      <c r="N52" s="116"/>
      <c r="O52" s="116"/>
      <c r="P52" s="116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</row>
    <row r="53" customFormat="false" ht="16.5" hidden="false" customHeight="true" outlineLevel="0" collapsed="false">
      <c r="A53" s="102"/>
      <c r="B53" s="103" t="s">
        <v>131</v>
      </c>
      <c r="C53" s="104"/>
      <c r="D53" s="104"/>
      <c r="E53" s="127"/>
      <c r="F53" s="142" t="n">
        <v>0</v>
      </c>
      <c r="G53" s="142" t="n">
        <v>0</v>
      </c>
      <c r="H53" s="143" t="n">
        <f aca="false">IFERROR(SUM($F53:$G53),"")</f>
        <v>0</v>
      </c>
      <c r="J53" s="116"/>
      <c r="K53" s="116"/>
      <c r="L53" s="116"/>
      <c r="M53" s="116"/>
      <c r="N53" s="116"/>
      <c r="O53" s="116"/>
      <c r="P53" s="116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</row>
    <row r="54" customFormat="false" ht="16.5" hidden="false" customHeight="true" outlineLevel="0" collapsed="false">
      <c r="A54" s="102"/>
      <c r="B54" s="144"/>
      <c r="C54" s="145"/>
      <c r="D54" s="146"/>
      <c r="E54" s="127"/>
      <c r="F54" s="142" t="n">
        <v>0</v>
      </c>
      <c r="G54" s="142" t="n">
        <v>0</v>
      </c>
      <c r="H54" s="143" t="n">
        <f aca="false">IFERROR(SUM($F54:$G54),"")</f>
        <v>0</v>
      </c>
      <c r="J54" s="116"/>
      <c r="K54" s="116"/>
      <c r="L54" s="116"/>
      <c r="M54" s="116"/>
      <c r="N54" s="116"/>
      <c r="O54" s="116"/>
      <c r="P54" s="116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</row>
    <row r="55" customFormat="false" ht="16.5" hidden="false" customHeight="true" outlineLevel="0" collapsed="false">
      <c r="A55" s="102"/>
      <c r="B55" s="124"/>
      <c r="C55" s="147"/>
      <c r="D55" s="148"/>
      <c r="E55" s="149"/>
      <c r="F55" s="119" t="n">
        <v>0</v>
      </c>
      <c r="G55" s="119" t="n">
        <v>0</v>
      </c>
      <c r="H55" s="115" t="n">
        <f aca="false">IFERROR(SUM($F55:$G55),"")</f>
        <v>0</v>
      </c>
      <c r="J55" s="116"/>
      <c r="K55" s="116"/>
      <c r="L55" s="116"/>
      <c r="M55" s="116"/>
      <c r="N55" s="116"/>
      <c r="O55" s="116"/>
      <c r="P55" s="116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</row>
    <row r="56" customFormat="false" ht="16.5" hidden="true" customHeight="true" outlineLevel="0" collapsed="false">
      <c r="A56" s="102"/>
      <c r="B56" s="110" t="s">
        <v>132</v>
      </c>
      <c r="C56" s="111"/>
      <c r="D56" s="123" t="s">
        <v>133</v>
      </c>
      <c r="E56" s="113"/>
      <c r="F56" s="119" t="n">
        <v>0</v>
      </c>
      <c r="G56" s="119" t="n">
        <v>0</v>
      </c>
      <c r="H56" s="115" t="n">
        <f aca="false">IFERROR(SUM($F56:$G56),"")</f>
        <v>0</v>
      </c>
      <c r="J56" s="116"/>
      <c r="K56" s="116"/>
      <c r="L56" s="116"/>
      <c r="M56" s="116"/>
      <c r="N56" s="116"/>
      <c r="O56" s="116"/>
      <c r="P56" s="116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</row>
    <row r="57" customFormat="false" ht="16.5" hidden="true" customHeight="true" outlineLevel="0" collapsed="false">
      <c r="A57" s="102"/>
      <c r="B57" s="117" t="s">
        <v>134</v>
      </c>
      <c r="C57" s="111"/>
      <c r="D57" s="118" t="s">
        <v>135</v>
      </c>
      <c r="E57" s="113" t="s">
        <v>85</v>
      </c>
      <c r="F57" s="119" t="n">
        <v>0</v>
      </c>
      <c r="G57" s="119" t="n">
        <v>0</v>
      </c>
      <c r="H57" s="115" t="n">
        <f aca="false">IFERROR(SUM($F57:$G57),"")</f>
        <v>0</v>
      </c>
      <c r="J57" s="116"/>
      <c r="K57" s="116"/>
      <c r="L57" s="116"/>
      <c r="M57" s="116"/>
      <c r="N57" s="116"/>
      <c r="O57" s="116"/>
      <c r="P57" s="116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</row>
    <row r="58" customFormat="false" ht="16.5" hidden="true" customHeight="true" outlineLevel="0" collapsed="false">
      <c r="A58" s="150"/>
      <c r="B58" s="117" t="s">
        <v>136</v>
      </c>
      <c r="C58" s="111"/>
      <c r="D58" s="118" t="s">
        <v>137</v>
      </c>
      <c r="E58" s="113" t="s">
        <v>85</v>
      </c>
      <c r="F58" s="119" t="n">
        <v>0</v>
      </c>
      <c r="G58" s="119" t="n">
        <v>0</v>
      </c>
      <c r="H58" s="115" t="n">
        <f aca="false">IFERROR(SUM($F58:$G58),"")</f>
        <v>0</v>
      </c>
      <c r="J58" s="116"/>
      <c r="K58" s="116"/>
      <c r="L58" s="116"/>
      <c r="M58" s="116"/>
      <c r="N58" s="116"/>
      <c r="O58" s="116"/>
      <c r="P58" s="116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</row>
    <row r="59" customFormat="false" ht="16.5" hidden="true" customHeight="true" outlineLevel="0" collapsed="false">
      <c r="A59" s="102"/>
      <c r="B59" s="117" t="s">
        <v>138</v>
      </c>
      <c r="C59" s="111"/>
      <c r="D59" s="118" t="s">
        <v>139</v>
      </c>
      <c r="E59" s="113" t="s">
        <v>85</v>
      </c>
      <c r="F59" s="119" t="n">
        <v>0</v>
      </c>
      <c r="G59" s="119" t="n">
        <v>0</v>
      </c>
      <c r="H59" s="115" t="n">
        <f aca="false">IFERROR(SUM($F59:$G59),"")</f>
        <v>0</v>
      </c>
      <c r="J59" s="116"/>
      <c r="K59" s="116"/>
      <c r="L59" s="116"/>
      <c r="M59" s="116"/>
      <c r="N59" s="116"/>
      <c r="O59" s="116"/>
      <c r="P59" s="116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</row>
    <row r="60" customFormat="false" ht="16.5" hidden="true" customHeight="true" outlineLevel="0" collapsed="false">
      <c r="A60" s="102"/>
      <c r="B60" s="117" t="s">
        <v>140</v>
      </c>
      <c r="C60" s="111"/>
      <c r="D60" s="118" t="s">
        <v>141</v>
      </c>
      <c r="E60" s="113" t="s">
        <v>85</v>
      </c>
      <c r="F60" s="119" t="n">
        <v>0</v>
      </c>
      <c r="G60" s="119" t="n">
        <v>0</v>
      </c>
      <c r="H60" s="115" t="n">
        <f aca="false">IFERROR(SUM($F60:$G60),"")</f>
        <v>0</v>
      </c>
      <c r="J60" s="116"/>
      <c r="K60" s="116"/>
      <c r="L60" s="116"/>
      <c r="M60" s="116"/>
      <c r="N60" s="116"/>
      <c r="O60" s="116"/>
      <c r="P60" s="116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</row>
    <row r="61" customFormat="false" ht="16.5" hidden="true" customHeight="true" outlineLevel="0" collapsed="false">
      <c r="A61" s="102"/>
      <c r="B61" s="117" t="s">
        <v>142</v>
      </c>
      <c r="C61" s="111"/>
      <c r="D61" s="118" t="s">
        <v>143</v>
      </c>
      <c r="E61" s="113" t="s">
        <v>85</v>
      </c>
      <c r="F61" s="119" t="n">
        <v>0</v>
      </c>
      <c r="G61" s="119" t="n">
        <v>0</v>
      </c>
      <c r="H61" s="115" t="n">
        <f aca="false">IFERROR(SUM($F61:$G61),"")</f>
        <v>0</v>
      </c>
      <c r="J61" s="116"/>
      <c r="K61" s="116"/>
      <c r="L61" s="116"/>
      <c r="M61" s="116"/>
      <c r="N61" s="116"/>
      <c r="O61" s="116"/>
      <c r="P61" s="116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</row>
    <row r="62" customFormat="false" ht="16.5" hidden="true" customHeight="true" outlineLevel="0" collapsed="false">
      <c r="A62" s="102"/>
      <c r="B62" s="110" t="s">
        <v>144</v>
      </c>
      <c r="C62" s="111"/>
      <c r="D62" s="123" t="s">
        <v>145</v>
      </c>
      <c r="E62" s="113"/>
      <c r="F62" s="119" t="n">
        <v>0</v>
      </c>
      <c r="G62" s="119" t="n">
        <v>0</v>
      </c>
      <c r="H62" s="115" t="n">
        <f aca="false">IFERROR(SUM($F62:$G62),"")</f>
        <v>0</v>
      </c>
      <c r="J62" s="116"/>
      <c r="K62" s="116"/>
      <c r="L62" s="116"/>
      <c r="M62" s="116"/>
      <c r="N62" s="116"/>
      <c r="O62" s="116"/>
      <c r="P62" s="116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</row>
    <row r="63" customFormat="false" ht="16.5" hidden="true" customHeight="true" outlineLevel="0" collapsed="false">
      <c r="A63" s="102"/>
      <c r="B63" s="117" t="s">
        <v>146</v>
      </c>
      <c r="C63" s="111"/>
      <c r="D63" s="118" t="s">
        <v>135</v>
      </c>
      <c r="E63" s="113" t="s">
        <v>85</v>
      </c>
      <c r="F63" s="119" t="n">
        <v>0</v>
      </c>
      <c r="G63" s="119" t="n">
        <v>0</v>
      </c>
      <c r="H63" s="115" t="n">
        <f aca="false">IFERROR(SUM($F63:$G63),"")</f>
        <v>0</v>
      </c>
      <c r="J63" s="116"/>
      <c r="K63" s="116"/>
      <c r="L63" s="116"/>
      <c r="M63" s="116"/>
      <c r="N63" s="116"/>
      <c r="O63" s="116"/>
      <c r="P63" s="116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</row>
    <row r="64" customFormat="false" ht="16.5" hidden="true" customHeight="true" outlineLevel="0" collapsed="false">
      <c r="A64" s="102"/>
      <c r="B64" s="117" t="s">
        <v>147</v>
      </c>
      <c r="C64" s="111"/>
      <c r="D64" s="118" t="s">
        <v>137</v>
      </c>
      <c r="E64" s="113" t="s">
        <v>85</v>
      </c>
      <c r="F64" s="119" t="n">
        <v>0</v>
      </c>
      <c r="G64" s="119" t="n">
        <v>0</v>
      </c>
      <c r="H64" s="115" t="n">
        <f aca="false">IFERROR(SUM($F64:$G64),"")</f>
        <v>0</v>
      </c>
      <c r="J64" s="116"/>
      <c r="K64" s="116"/>
      <c r="L64" s="116"/>
      <c r="M64" s="116"/>
      <c r="N64" s="116"/>
      <c r="O64" s="116"/>
      <c r="P64" s="116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</row>
    <row r="65" customFormat="false" ht="16.5" hidden="true" customHeight="true" outlineLevel="0" collapsed="false">
      <c r="A65" s="102"/>
      <c r="B65" s="117" t="s">
        <v>148</v>
      </c>
      <c r="C65" s="111"/>
      <c r="D65" s="118" t="s">
        <v>139</v>
      </c>
      <c r="E65" s="113" t="s">
        <v>85</v>
      </c>
      <c r="F65" s="119" t="n">
        <v>0</v>
      </c>
      <c r="G65" s="119" t="n">
        <v>0</v>
      </c>
      <c r="H65" s="115" t="n">
        <f aca="false">IFERROR(SUM($F65:$G65),"")</f>
        <v>0</v>
      </c>
      <c r="J65" s="116"/>
      <c r="K65" s="116"/>
      <c r="L65" s="116"/>
      <c r="M65" s="116"/>
      <c r="N65" s="116"/>
      <c r="O65" s="116"/>
      <c r="P65" s="116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</row>
    <row r="66" customFormat="false" ht="16.5" hidden="false" customHeight="true" outlineLevel="0" collapsed="false">
      <c r="A66" s="102"/>
      <c r="B66" s="110" t="s">
        <v>149</v>
      </c>
      <c r="C66" s="111"/>
      <c r="D66" s="123" t="s">
        <v>150</v>
      </c>
      <c r="E66" s="113"/>
      <c r="F66" s="119" t="n">
        <v>0</v>
      </c>
      <c r="G66" s="119" t="n">
        <v>0</v>
      </c>
      <c r="H66" s="115" t="n">
        <f aca="false">IFERROR(SUM($F66:$G66),"")</f>
        <v>0</v>
      </c>
      <c r="J66" s="116"/>
      <c r="K66" s="116"/>
      <c r="L66" s="116"/>
      <c r="M66" s="116"/>
      <c r="N66" s="116"/>
      <c r="O66" s="116"/>
      <c r="P66" s="116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</row>
    <row r="67" customFormat="false" ht="16.5" hidden="true" customHeight="true" outlineLevel="0" collapsed="false">
      <c r="A67" s="102"/>
      <c r="B67" s="117" t="s">
        <v>151</v>
      </c>
      <c r="C67" s="111"/>
      <c r="D67" s="118" t="s">
        <v>152</v>
      </c>
      <c r="E67" s="113" t="s">
        <v>85</v>
      </c>
      <c r="F67" s="119" t="n">
        <v>0</v>
      </c>
      <c r="G67" s="119" t="n">
        <v>0</v>
      </c>
      <c r="H67" s="115" t="n">
        <f aca="false">IFERROR(SUM($F67:$G67),"")</f>
        <v>0</v>
      </c>
      <c r="J67" s="116"/>
      <c r="K67" s="116"/>
      <c r="L67" s="116"/>
      <c r="M67" s="116"/>
      <c r="N67" s="116"/>
      <c r="O67" s="116"/>
      <c r="P67" s="116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</row>
    <row r="68" customFormat="false" ht="16.5" hidden="true" customHeight="true" outlineLevel="0" collapsed="false">
      <c r="A68" s="102"/>
      <c r="B68" s="117" t="s">
        <v>153</v>
      </c>
      <c r="C68" s="111"/>
      <c r="D68" s="118" t="s">
        <v>154</v>
      </c>
      <c r="E68" s="113" t="s">
        <v>85</v>
      </c>
      <c r="F68" s="119" t="n">
        <v>0</v>
      </c>
      <c r="G68" s="119" t="n">
        <v>0</v>
      </c>
      <c r="H68" s="115" t="n">
        <f aca="false">IFERROR(SUM($F68:$G68),"")</f>
        <v>0</v>
      </c>
      <c r="J68" s="116"/>
      <c r="K68" s="116"/>
      <c r="L68" s="116"/>
      <c r="M68" s="116"/>
      <c r="N68" s="116"/>
      <c r="O68" s="116"/>
      <c r="P68" s="116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</row>
    <row r="69" customFormat="false" ht="16.5" hidden="true" customHeight="true" outlineLevel="0" collapsed="false">
      <c r="A69" s="102"/>
      <c r="B69" s="117" t="s">
        <v>155</v>
      </c>
      <c r="C69" s="111"/>
      <c r="D69" s="118" t="s">
        <v>156</v>
      </c>
      <c r="E69" s="113" t="s">
        <v>85</v>
      </c>
      <c r="F69" s="119" t="n">
        <v>0</v>
      </c>
      <c r="G69" s="119" t="n">
        <v>0</v>
      </c>
      <c r="H69" s="115" t="n">
        <f aca="false">IFERROR(SUM($F69:$G69),"")</f>
        <v>0</v>
      </c>
      <c r="J69" s="116"/>
      <c r="K69" s="116"/>
      <c r="L69" s="116"/>
      <c r="M69" s="116"/>
      <c r="N69" s="116"/>
      <c r="O69" s="116"/>
      <c r="P69" s="116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</row>
    <row r="70" customFormat="false" ht="16.5" hidden="true" customHeight="true" outlineLevel="0" collapsed="false">
      <c r="A70" s="102"/>
      <c r="B70" s="117" t="s">
        <v>157</v>
      </c>
      <c r="C70" s="111"/>
      <c r="D70" s="118" t="s">
        <v>158</v>
      </c>
      <c r="E70" s="113" t="s">
        <v>85</v>
      </c>
      <c r="F70" s="119" t="n">
        <v>0</v>
      </c>
      <c r="G70" s="119" t="n">
        <v>0</v>
      </c>
      <c r="H70" s="115" t="n">
        <f aca="false">IFERROR(SUM($F70:$G70),"")</f>
        <v>0</v>
      </c>
      <c r="J70" s="116"/>
      <c r="K70" s="116"/>
      <c r="L70" s="116"/>
      <c r="M70" s="116"/>
      <c r="N70" s="116"/>
      <c r="O70" s="116"/>
      <c r="P70" s="116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</row>
    <row r="71" customFormat="false" ht="16.5" hidden="true" customHeight="true" outlineLevel="0" collapsed="false">
      <c r="A71" s="150"/>
      <c r="B71" s="117" t="s">
        <v>159</v>
      </c>
      <c r="C71" s="111"/>
      <c r="D71" s="118" t="s">
        <v>160</v>
      </c>
      <c r="E71" s="113" t="s">
        <v>85</v>
      </c>
      <c r="F71" s="119" t="n">
        <v>0</v>
      </c>
      <c r="G71" s="119" t="n">
        <v>0</v>
      </c>
      <c r="H71" s="115" t="n">
        <f aca="false">IFERROR(SUM($F71:$G71),"")</f>
        <v>0</v>
      </c>
      <c r="J71" s="116"/>
      <c r="K71" s="116"/>
      <c r="L71" s="116"/>
      <c r="M71" s="116"/>
      <c r="N71" s="116"/>
      <c r="O71" s="116"/>
      <c r="P71" s="116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</row>
    <row r="72" customFormat="false" ht="16.5" hidden="false" customHeight="true" outlineLevel="0" collapsed="false">
      <c r="A72" s="150"/>
      <c r="B72" s="117" t="s">
        <v>161</v>
      </c>
      <c r="C72" s="111"/>
      <c r="D72" s="118" t="s">
        <v>162</v>
      </c>
      <c r="E72" s="113" t="s">
        <v>85</v>
      </c>
      <c r="F72" s="119" t="n">
        <v>0</v>
      </c>
      <c r="G72" s="119" t="n">
        <v>6</v>
      </c>
      <c r="H72" s="115" t="n">
        <f aca="false">IFERROR(SUM($F72:$G72),"")</f>
        <v>6</v>
      </c>
      <c r="J72" s="120" t="n">
        <v>224</v>
      </c>
      <c r="K72" s="121" t="n">
        <f aca="false">+$H72*J72</f>
        <v>1344</v>
      </c>
      <c r="L72" s="122" t="n">
        <v>1120</v>
      </c>
      <c r="M72" s="122" t="n">
        <v>0</v>
      </c>
      <c r="N72" s="121" t="n">
        <f aca="false">+$H72*L72</f>
        <v>6720</v>
      </c>
      <c r="O72" s="121" t="n">
        <f aca="false">+$H72*M72</f>
        <v>0</v>
      </c>
      <c r="P72" s="121" t="n">
        <f aca="false">+SUM(N72:O72)</f>
        <v>6720</v>
      </c>
      <c r="R72" s="109"/>
      <c r="S72" s="109" t="n">
        <f aca="false">+R72*$H72</f>
        <v>0</v>
      </c>
      <c r="T72" s="109" t="n">
        <v>2688</v>
      </c>
      <c r="U72" s="109" t="n">
        <f aca="false">+T72*$H72</f>
        <v>16128</v>
      </c>
      <c r="V72" s="109" t="n">
        <f aca="false">+T72*$V$11</f>
        <v>13440</v>
      </c>
      <c r="W72" s="109" t="n">
        <f aca="false">+V72*$H72</f>
        <v>80640</v>
      </c>
      <c r="X72" s="109"/>
      <c r="Y72" s="109" t="n">
        <f aca="false">+X72*$H72</f>
        <v>0</v>
      </c>
      <c r="Z72" s="109"/>
      <c r="AA72" s="109" t="n">
        <f aca="false">+Z72*$H72</f>
        <v>0</v>
      </c>
      <c r="AB72" s="109"/>
      <c r="AC72" s="109" t="n">
        <f aca="false">+AB72*$H72</f>
        <v>0</v>
      </c>
      <c r="AD72" s="109" t="n">
        <f aca="false">+R72+V72+X72+Z72+AB72</f>
        <v>13440</v>
      </c>
      <c r="AE72" s="109" t="n">
        <f aca="false">+AD72*$H72</f>
        <v>80640</v>
      </c>
    </row>
    <row r="73" customFormat="false" ht="16.5" hidden="true" customHeight="true" outlineLevel="0" collapsed="false">
      <c r="A73" s="102"/>
      <c r="B73" s="110" t="s">
        <v>163</v>
      </c>
      <c r="C73" s="111"/>
      <c r="D73" s="123" t="s">
        <v>164</v>
      </c>
      <c r="E73" s="113"/>
      <c r="F73" s="119" t="n">
        <v>0</v>
      </c>
      <c r="G73" s="119" t="n">
        <v>0</v>
      </c>
      <c r="H73" s="115" t="n">
        <f aca="false">IFERROR(SUM($F73:$G73),"")</f>
        <v>0</v>
      </c>
      <c r="J73" s="116"/>
      <c r="K73" s="116"/>
      <c r="L73" s="116"/>
      <c r="M73" s="116"/>
      <c r="N73" s="116"/>
      <c r="O73" s="116"/>
      <c r="P73" s="116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</row>
    <row r="74" customFormat="false" ht="16.5" hidden="true" customHeight="true" outlineLevel="0" collapsed="false">
      <c r="A74" s="102"/>
      <c r="B74" s="117" t="s">
        <v>165</v>
      </c>
      <c r="C74" s="111"/>
      <c r="D74" s="118" t="s">
        <v>152</v>
      </c>
      <c r="E74" s="113" t="s">
        <v>85</v>
      </c>
      <c r="F74" s="119" t="n">
        <v>0</v>
      </c>
      <c r="G74" s="119" t="n">
        <v>0</v>
      </c>
      <c r="H74" s="115" t="n">
        <f aca="false">IFERROR(SUM($F74:$G74),"")</f>
        <v>0</v>
      </c>
      <c r="J74" s="116"/>
      <c r="K74" s="116"/>
      <c r="L74" s="116"/>
      <c r="M74" s="116"/>
      <c r="N74" s="116"/>
      <c r="O74" s="116"/>
      <c r="P74" s="116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</row>
    <row r="75" customFormat="false" ht="16.5" hidden="true" customHeight="true" outlineLevel="0" collapsed="false">
      <c r="A75" s="102"/>
      <c r="B75" s="117" t="s">
        <v>166</v>
      </c>
      <c r="C75" s="111"/>
      <c r="D75" s="118" t="s">
        <v>154</v>
      </c>
      <c r="E75" s="113" t="s">
        <v>85</v>
      </c>
      <c r="F75" s="119" t="n">
        <v>0</v>
      </c>
      <c r="G75" s="119" t="n">
        <v>0</v>
      </c>
      <c r="H75" s="115" t="n">
        <f aca="false">IFERROR(SUM($F75:$G75),"")</f>
        <v>0</v>
      </c>
      <c r="J75" s="116"/>
      <c r="K75" s="116"/>
      <c r="L75" s="116"/>
      <c r="M75" s="116"/>
      <c r="N75" s="116"/>
      <c r="O75" s="116"/>
      <c r="P75" s="116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</row>
    <row r="76" customFormat="false" ht="16.5" hidden="true" customHeight="true" outlineLevel="0" collapsed="false">
      <c r="A76" s="102"/>
      <c r="B76" s="117" t="s">
        <v>167</v>
      </c>
      <c r="C76" s="111"/>
      <c r="D76" s="118" t="s">
        <v>156</v>
      </c>
      <c r="E76" s="113" t="s">
        <v>85</v>
      </c>
      <c r="F76" s="119" t="n">
        <v>0</v>
      </c>
      <c r="G76" s="119" t="n">
        <v>0</v>
      </c>
      <c r="H76" s="115" t="n">
        <f aca="false">IFERROR(SUM($F76:$G76),"")</f>
        <v>0</v>
      </c>
      <c r="J76" s="116"/>
      <c r="K76" s="116"/>
      <c r="L76" s="116"/>
      <c r="M76" s="116"/>
      <c r="N76" s="116"/>
      <c r="O76" s="116"/>
      <c r="P76" s="116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</row>
    <row r="77" customFormat="false" ht="16.5" hidden="true" customHeight="true" outlineLevel="0" collapsed="false">
      <c r="A77" s="102"/>
      <c r="B77" s="117" t="s">
        <v>168</v>
      </c>
      <c r="C77" s="111"/>
      <c r="D77" s="118" t="s">
        <v>158</v>
      </c>
      <c r="E77" s="113" t="s">
        <v>85</v>
      </c>
      <c r="F77" s="119" t="n">
        <v>0</v>
      </c>
      <c r="G77" s="119" t="n">
        <v>0</v>
      </c>
      <c r="H77" s="115" t="n">
        <f aca="false">IFERROR(SUM($F77:$G77),"")</f>
        <v>0</v>
      </c>
      <c r="J77" s="116"/>
      <c r="K77" s="116"/>
      <c r="L77" s="116"/>
      <c r="M77" s="116"/>
      <c r="N77" s="116"/>
      <c r="O77" s="116"/>
      <c r="P77" s="116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</row>
    <row r="78" customFormat="false" ht="16.5" hidden="true" customHeight="true" outlineLevel="0" collapsed="false">
      <c r="A78" s="102"/>
      <c r="B78" s="117" t="s">
        <v>169</v>
      </c>
      <c r="C78" s="111"/>
      <c r="D78" s="118" t="s">
        <v>160</v>
      </c>
      <c r="E78" s="113" t="s">
        <v>85</v>
      </c>
      <c r="F78" s="119" t="n">
        <v>0</v>
      </c>
      <c r="G78" s="119" t="n">
        <v>0</v>
      </c>
      <c r="H78" s="115" t="n">
        <f aca="false">IFERROR(SUM($F78:$G78),"")</f>
        <v>0</v>
      </c>
      <c r="J78" s="116"/>
      <c r="K78" s="116"/>
      <c r="L78" s="116"/>
      <c r="M78" s="116"/>
      <c r="N78" s="116"/>
      <c r="O78" s="116"/>
      <c r="P78" s="116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</row>
    <row r="79" customFormat="false" ht="16.5" hidden="true" customHeight="true" outlineLevel="0" collapsed="false">
      <c r="A79" s="102"/>
      <c r="B79" s="117" t="s">
        <v>170</v>
      </c>
      <c r="C79" s="111"/>
      <c r="D79" s="118" t="s">
        <v>162</v>
      </c>
      <c r="E79" s="113" t="s">
        <v>85</v>
      </c>
      <c r="F79" s="119" t="n">
        <v>0</v>
      </c>
      <c r="G79" s="119" t="n">
        <v>0</v>
      </c>
      <c r="H79" s="115" t="n">
        <f aca="false">IFERROR(SUM($F79:$G79),"")</f>
        <v>0</v>
      </c>
      <c r="J79" s="116"/>
      <c r="K79" s="116"/>
      <c r="L79" s="116"/>
      <c r="M79" s="116"/>
      <c r="N79" s="116"/>
      <c r="O79" s="116"/>
      <c r="P79" s="116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</row>
    <row r="80" customFormat="false" ht="16.5" hidden="true" customHeight="true" outlineLevel="0" collapsed="false">
      <c r="A80" s="102"/>
      <c r="B80" s="110" t="s">
        <v>171</v>
      </c>
      <c r="C80" s="111"/>
      <c r="D80" s="123" t="s">
        <v>172</v>
      </c>
      <c r="E80" s="113"/>
      <c r="F80" s="119" t="n">
        <v>0</v>
      </c>
      <c r="G80" s="119" t="n">
        <v>0</v>
      </c>
      <c r="H80" s="115" t="n">
        <f aca="false">IFERROR(SUM($F80:$G80),"")</f>
        <v>0</v>
      </c>
      <c r="J80" s="116"/>
      <c r="K80" s="116"/>
      <c r="L80" s="116"/>
      <c r="M80" s="116"/>
      <c r="N80" s="116"/>
      <c r="O80" s="116"/>
      <c r="P80" s="116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</row>
    <row r="81" customFormat="false" ht="16.5" hidden="true" customHeight="true" outlineLevel="0" collapsed="false">
      <c r="A81" s="102"/>
      <c r="B81" s="117" t="s">
        <v>173</v>
      </c>
      <c r="C81" s="111"/>
      <c r="D81" s="118" t="s">
        <v>174</v>
      </c>
      <c r="E81" s="113" t="s">
        <v>85</v>
      </c>
      <c r="F81" s="119" t="n">
        <v>0</v>
      </c>
      <c r="G81" s="119" t="n">
        <v>0</v>
      </c>
      <c r="H81" s="115" t="n">
        <f aca="false">IFERROR(SUM($F81:$G81),"")</f>
        <v>0</v>
      </c>
      <c r="J81" s="116"/>
      <c r="K81" s="116"/>
      <c r="L81" s="116"/>
      <c r="M81" s="116"/>
      <c r="N81" s="116"/>
      <c r="O81" s="116"/>
      <c r="P81" s="116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</row>
    <row r="82" customFormat="false" ht="16.5" hidden="true" customHeight="true" outlineLevel="0" collapsed="false">
      <c r="A82" s="102"/>
      <c r="B82" s="117" t="s">
        <v>175</v>
      </c>
      <c r="C82" s="111"/>
      <c r="D82" s="118" t="s">
        <v>176</v>
      </c>
      <c r="E82" s="113" t="s">
        <v>85</v>
      </c>
      <c r="F82" s="119" t="n">
        <v>0</v>
      </c>
      <c r="G82" s="119" t="n">
        <v>0</v>
      </c>
      <c r="H82" s="115" t="n">
        <f aca="false">IFERROR(SUM($F82:$G82),"")</f>
        <v>0</v>
      </c>
      <c r="J82" s="116"/>
      <c r="K82" s="116"/>
      <c r="L82" s="116"/>
      <c r="M82" s="116"/>
      <c r="N82" s="116"/>
      <c r="O82" s="116"/>
      <c r="P82" s="116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</row>
    <row r="83" customFormat="false" ht="16.5" hidden="false" customHeight="true" outlineLevel="0" collapsed="false">
      <c r="A83" s="102"/>
      <c r="B83" s="110" t="s">
        <v>177</v>
      </c>
      <c r="C83" s="111"/>
      <c r="D83" s="123" t="s">
        <v>178</v>
      </c>
      <c r="E83" s="113"/>
      <c r="F83" s="119" t="n">
        <v>0</v>
      </c>
      <c r="G83" s="119" t="n">
        <v>0</v>
      </c>
      <c r="H83" s="115" t="n">
        <f aca="false">IFERROR(SUM($F83:$G83),"")</f>
        <v>0</v>
      </c>
      <c r="J83" s="116"/>
      <c r="K83" s="116"/>
      <c r="L83" s="116"/>
      <c r="M83" s="116"/>
      <c r="N83" s="116"/>
      <c r="O83" s="116"/>
      <c r="P83" s="116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</row>
    <row r="84" customFormat="false" ht="16.5" hidden="false" customHeight="true" outlineLevel="0" collapsed="false">
      <c r="A84" s="150"/>
      <c r="B84" s="117" t="s">
        <v>179</v>
      </c>
      <c r="C84" s="111"/>
      <c r="D84" s="118" t="s">
        <v>180</v>
      </c>
      <c r="E84" s="113" t="s">
        <v>85</v>
      </c>
      <c r="F84" s="119" t="n">
        <v>0</v>
      </c>
      <c r="G84" s="119" t="n">
        <v>40</v>
      </c>
      <c r="H84" s="115" t="n">
        <f aca="false">IFERROR(SUM($F84:$G84),"")</f>
        <v>40</v>
      </c>
      <c r="J84" s="120" t="n">
        <v>22</v>
      </c>
      <c r="K84" s="121" t="n">
        <f aca="false">+$H84*J84</f>
        <v>880</v>
      </c>
      <c r="L84" s="122" t="n">
        <v>110</v>
      </c>
      <c r="M84" s="122" t="n">
        <v>0</v>
      </c>
      <c r="N84" s="121" t="n">
        <f aca="false">+$H84*L84</f>
        <v>4400</v>
      </c>
      <c r="O84" s="121" t="n">
        <f aca="false">+$H84*M84</f>
        <v>0</v>
      </c>
      <c r="P84" s="121" t="n">
        <f aca="false">+SUM(N84:O84)</f>
        <v>4400</v>
      </c>
      <c r="R84" s="109"/>
      <c r="S84" s="109" t="n">
        <f aca="false">+R84*$H84</f>
        <v>0</v>
      </c>
      <c r="T84" s="109"/>
      <c r="U84" s="109" t="n">
        <f aca="false">+T84*$H84</f>
        <v>0</v>
      </c>
      <c r="V84" s="109" t="n">
        <f aca="false">+T84*$V$11</f>
        <v>0</v>
      </c>
      <c r="W84" s="109" t="n">
        <f aca="false">+V84*$H84</f>
        <v>0</v>
      </c>
      <c r="X84" s="109"/>
      <c r="Y84" s="109" t="n">
        <f aca="false">+X84*$H84</f>
        <v>0</v>
      </c>
      <c r="Z84" s="109"/>
      <c r="AA84" s="109" t="n">
        <f aca="false">+Z84*$H84</f>
        <v>0</v>
      </c>
      <c r="AB84" s="109"/>
      <c r="AC84" s="109" t="n">
        <f aca="false">+AB84*$H84</f>
        <v>0</v>
      </c>
      <c r="AD84" s="109" t="n">
        <f aca="false">+R84+V84+X84+Z84+AB84</f>
        <v>0</v>
      </c>
      <c r="AE84" s="109" t="n">
        <f aca="false">+AD84*$H84</f>
        <v>0</v>
      </c>
    </row>
    <row r="85" customFormat="false" ht="16.5" hidden="true" customHeight="true" outlineLevel="0" collapsed="false">
      <c r="A85" s="102"/>
      <c r="B85" s="117" t="s">
        <v>181</v>
      </c>
      <c r="C85" s="111"/>
      <c r="D85" s="118" t="s">
        <v>182</v>
      </c>
      <c r="E85" s="113" t="s">
        <v>85</v>
      </c>
      <c r="F85" s="119" t="n">
        <v>0</v>
      </c>
      <c r="G85" s="119" t="n">
        <v>0</v>
      </c>
      <c r="H85" s="115" t="n">
        <f aca="false">IFERROR(SUM($F85:$G85),"")</f>
        <v>0</v>
      </c>
      <c r="J85" s="116"/>
      <c r="K85" s="116"/>
      <c r="L85" s="116"/>
      <c r="M85" s="116"/>
      <c r="N85" s="116"/>
      <c r="O85" s="116"/>
      <c r="P85" s="116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</row>
    <row r="86" customFormat="false" ht="16.5" hidden="false" customHeight="true" outlineLevel="0" collapsed="false">
      <c r="A86" s="102"/>
      <c r="B86" s="110" t="s">
        <v>183</v>
      </c>
      <c r="C86" s="111"/>
      <c r="D86" s="123" t="s">
        <v>184</v>
      </c>
      <c r="E86" s="113"/>
      <c r="F86" s="119" t="n">
        <v>0</v>
      </c>
      <c r="G86" s="119" t="n">
        <v>0</v>
      </c>
      <c r="H86" s="115" t="n">
        <f aca="false">IFERROR(SUM($F86:$G86),"")</f>
        <v>0</v>
      </c>
      <c r="J86" s="116"/>
      <c r="K86" s="116"/>
      <c r="L86" s="116"/>
      <c r="M86" s="116"/>
      <c r="N86" s="116"/>
      <c r="O86" s="116"/>
      <c r="P86" s="116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</row>
    <row r="87" customFormat="false" ht="16.5" hidden="false" customHeight="true" outlineLevel="0" collapsed="false">
      <c r="A87" s="102"/>
      <c r="B87" s="117" t="s">
        <v>185</v>
      </c>
      <c r="C87" s="111"/>
      <c r="D87" s="118" t="s">
        <v>186</v>
      </c>
      <c r="E87" s="113" t="s">
        <v>85</v>
      </c>
      <c r="F87" s="119" t="n">
        <v>0</v>
      </c>
      <c r="G87" s="119" t="n">
        <v>18</v>
      </c>
      <c r="H87" s="115" t="n">
        <f aca="false">IFERROR(SUM($F87:$G87),"")</f>
        <v>18</v>
      </c>
      <c r="J87" s="120" t="n">
        <v>18</v>
      </c>
      <c r="K87" s="121" t="n">
        <f aca="false">+$H87*J87</f>
        <v>324</v>
      </c>
      <c r="L87" s="122" t="n">
        <v>90</v>
      </c>
      <c r="M87" s="122" t="n">
        <v>0</v>
      </c>
      <c r="N87" s="121" t="n">
        <f aca="false">+$H87*L87</f>
        <v>1620</v>
      </c>
      <c r="O87" s="121" t="n">
        <f aca="false">+$H87*M87</f>
        <v>0</v>
      </c>
      <c r="P87" s="121" t="n">
        <f aca="false">+SUM(N87:O87)</f>
        <v>1620</v>
      </c>
      <c r="R87" s="109"/>
      <c r="S87" s="109" t="n">
        <f aca="false">+R87*$H87</f>
        <v>0</v>
      </c>
      <c r="T87" s="109"/>
      <c r="U87" s="109" t="n">
        <f aca="false">+T87*$H87</f>
        <v>0</v>
      </c>
      <c r="V87" s="109" t="n">
        <f aca="false">+T87*$V$11</f>
        <v>0</v>
      </c>
      <c r="W87" s="109" t="n">
        <f aca="false">+V87*$H87</f>
        <v>0</v>
      </c>
      <c r="X87" s="109"/>
      <c r="Y87" s="109" t="n">
        <f aca="false">+X87*$H87</f>
        <v>0</v>
      </c>
      <c r="Z87" s="109"/>
      <c r="AA87" s="109" t="n">
        <f aca="false">+Z87*$H87</f>
        <v>0</v>
      </c>
      <c r="AB87" s="109"/>
      <c r="AC87" s="109" t="n">
        <f aca="false">+AB87*$H87</f>
        <v>0</v>
      </c>
      <c r="AD87" s="109" t="n">
        <f aca="false">+R87+V87+X87+Z87+AB87</f>
        <v>0</v>
      </c>
      <c r="AE87" s="109" t="n">
        <f aca="false">+AD87*$H87</f>
        <v>0</v>
      </c>
    </row>
    <row r="88" customFormat="false" ht="16.5" hidden="false" customHeight="true" outlineLevel="0" collapsed="false">
      <c r="A88" s="150"/>
      <c r="B88" s="117" t="s">
        <v>187</v>
      </c>
      <c r="C88" s="111"/>
      <c r="D88" s="118" t="s">
        <v>188</v>
      </c>
      <c r="E88" s="113" t="s">
        <v>85</v>
      </c>
      <c r="F88" s="119" t="n">
        <v>0</v>
      </c>
      <c r="G88" s="119" t="n">
        <v>76</v>
      </c>
      <c r="H88" s="115" t="n">
        <f aca="false">IFERROR(SUM($F88:$G88),"")</f>
        <v>76</v>
      </c>
      <c r="J88" s="120" t="n">
        <v>14</v>
      </c>
      <c r="K88" s="121" t="n">
        <f aca="false">+$H88*J88</f>
        <v>1064</v>
      </c>
      <c r="L88" s="122" t="n">
        <v>70</v>
      </c>
      <c r="M88" s="122" t="n">
        <v>0</v>
      </c>
      <c r="N88" s="121" t="n">
        <f aca="false">+$H88*L88</f>
        <v>5320</v>
      </c>
      <c r="O88" s="121" t="n">
        <f aca="false">+$H88*M88</f>
        <v>0</v>
      </c>
      <c r="P88" s="121" t="n">
        <f aca="false">+SUM(N88:O88)</f>
        <v>5320</v>
      </c>
      <c r="R88" s="109"/>
      <c r="S88" s="109" t="n">
        <f aca="false">+R88*$H88</f>
        <v>0</v>
      </c>
      <c r="T88" s="109"/>
      <c r="U88" s="109" t="n">
        <f aca="false">+T88*$H88</f>
        <v>0</v>
      </c>
      <c r="V88" s="109" t="n">
        <f aca="false">+T88*$V$11</f>
        <v>0</v>
      </c>
      <c r="W88" s="109" t="n">
        <f aca="false">+V88*$H88</f>
        <v>0</v>
      </c>
      <c r="X88" s="109"/>
      <c r="Y88" s="109" t="n">
        <f aca="false">+X88*$H88</f>
        <v>0</v>
      </c>
      <c r="Z88" s="109"/>
      <c r="AA88" s="109" t="n">
        <f aca="false">+Z88*$H88</f>
        <v>0</v>
      </c>
      <c r="AB88" s="109"/>
      <c r="AC88" s="109" t="n">
        <f aca="false">+AB88*$H88</f>
        <v>0</v>
      </c>
      <c r="AD88" s="109" t="n">
        <f aca="false">+R88+V88+X88+Z88+AB88</f>
        <v>0</v>
      </c>
      <c r="AE88" s="109" t="n">
        <f aca="false">+AD88*$H88</f>
        <v>0</v>
      </c>
    </row>
    <row r="89" customFormat="false" ht="16.5" hidden="false" customHeight="true" outlineLevel="0" collapsed="false">
      <c r="A89" s="102"/>
      <c r="B89" s="110" t="s">
        <v>189</v>
      </c>
      <c r="C89" s="111"/>
      <c r="D89" s="123" t="s">
        <v>190</v>
      </c>
      <c r="E89" s="113"/>
      <c r="F89" s="119" t="n">
        <v>0</v>
      </c>
      <c r="G89" s="119" t="n">
        <v>0</v>
      </c>
      <c r="H89" s="115" t="n">
        <f aca="false">IFERROR(SUM($F89:$G89),"")</f>
        <v>0</v>
      </c>
      <c r="J89" s="116"/>
      <c r="K89" s="116"/>
      <c r="L89" s="116"/>
      <c r="M89" s="116"/>
      <c r="N89" s="116"/>
      <c r="O89" s="116"/>
      <c r="P89" s="116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</row>
    <row r="90" customFormat="false" ht="16.5" hidden="true" customHeight="true" outlineLevel="0" collapsed="false">
      <c r="A90" s="102"/>
      <c r="B90" s="117" t="s">
        <v>191</v>
      </c>
      <c r="C90" s="111"/>
      <c r="D90" s="118" t="s">
        <v>192</v>
      </c>
      <c r="E90" s="113" t="s">
        <v>85</v>
      </c>
      <c r="F90" s="119" t="n">
        <v>0</v>
      </c>
      <c r="G90" s="119" t="n">
        <v>0</v>
      </c>
      <c r="H90" s="115" t="n">
        <f aca="false">IFERROR(SUM($F90:$G90),"")</f>
        <v>0</v>
      </c>
      <c r="J90" s="116"/>
      <c r="K90" s="116"/>
      <c r="L90" s="116"/>
      <c r="M90" s="116"/>
      <c r="N90" s="116"/>
      <c r="O90" s="116"/>
      <c r="P90" s="116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</row>
    <row r="91" customFormat="false" ht="16.5" hidden="false" customHeight="true" outlineLevel="0" collapsed="false">
      <c r="A91" s="102"/>
      <c r="B91" s="117" t="s">
        <v>193</v>
      </c>
      <c r="C91" s="111"/>
      <c r="D91" s="118" t="s">
        <v>194</v>
      </c>
      <c r="E91" s="113" t="s">
        <v>85</v>
      </c>
      <c r="F91" s="119" t="n">
        <v>0</v>
      </c>
      <c r="G91" s="119" t="n">
        <v>2</v>
      </c>
      <c r="H91" s="115" t="n">
        <f aca="false">IFERROR(SUM($F91:$G91),"")</f>
        <v>2</v>
      </c>
      <c r="J91" s="120" t="n">
        <v>10</v>
      </c>
      <c r="K91" s="121" t="n">
        <f aca="false">+$H91*J91</f>
        <v>20</v>
      </c>
      <c r="L91" s="122" t="n">
        <v>50</v>
      </c>
      <c r="M91" s="122" t="n">
        <v>0</v>
      </c>
      <c r="N91" s="121" t="n">
        <f aca="false">+$H91*L91</f>
        <v>100</v>
      </c>
      <c r="O91" s="121" t="n">
        <f aca="false">+$H91*M91</f>
        <v>0</v>
      </c>
      <c r="P91" s="121" t="n">
        <f aca="false">+SUM(N91:O91)</f>
        <v>100</v>
      </c>
      <c r="R91" s="109"/>
      <c r="S91" s="109" t="n">
        <f aca="false">+R91*$H91</f>
        <v>0</v>
      </c>
      <c r="T91" s="109"/>
      <c r="U91" s="109" t="n">
        <f aca="false">+T91*$H91</f>
        <v>0</v>
      </c>
      <c r="V91" s="109" t="n">
        <f aca="false">+T91*$V$11</f>
        <v>0</v>
      </c>
      <c r="W91" s="109" t="n">
        <f aca="false">+V91*$H91</f>
        <v>0</v>
      </c>
      <c r="X91" s="109"/>
      <c r="Y91" s="109" t="n">
        <f aca="false">+X91*$H91</f>
        <v>0</v>
      </c>
      <c r="Z91" s="109"/>
      <c r="AA91" s="109" t="n">
        <f aca="false">+Z91*$H91</f>
        <v>0</v>
      </c>
      <c r="AB91" s="109"/>
      <c r="AC91" s="109" t="n">
        <f aca="false">+AB91*$H91</f>
        <v>0</v>
      </c>
      <c r="AD91" s="109" t="n">
        <f aca="false">+R91+V91+X91+Z91+AB91</f>
        <v>0</v>
      </c>
      <c r="AE91" s="109" t="n">
        <f aca="false">+AD91*$H91</f>
        <v>0</v>
      </c>
    </row>
    <row r="92" customFormat="false" ht="16.5" hidden="true" customHeight="true" outlineLevel="0" collapsed="false">
      <c r="A92" s="102"/>
      <c r="B92" s="117" t="s">
        <v>195</v>
      </c>
      <c r="C92" s="111"/>
      <c r="D92" s="118" t="s">
        <v>196</v>
      </c>
      <c r="E92" s="113" t="s">
        <v>85</v>
      </c>
      <c r="F92" s="119" t="n">
        <v>0</v>
      </c>
      <c r="G92" s="119" t="n">
        <v>0</v>
      </c>
      <c r="H92" s="115" t="n">
        <f aca="false">IFERROR(SUM($F92:$G92),"")</f>
        <v>0</v>
      </c>
      <c r="J92" s="116"/>
      <c r="K92" s="116"/>
      <c r="L92" s="116"/>
      <c r="M92" s="116"/>
      <c r="N92" s="116"/>
      <c r="O92" s="116"/>
      <c r="P92" s="116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</row>
    <row r="93" customFormat="false" ht="16.5" hidden="false" customHeight="true" outlineLevel="0" collapsed="false">
      <c r="A93" s="102"/>
      <c r="B93" s="117" t="s">
        <v>197</v>
      </c>
      <c r="C93" s="111"/>
      <c r="D93" s="118" t="s">
        <v>198</v>
      </c>
      <c r="E93" s="113" t="s">
        <v>85</v>
      </c>
      <c r="F93" s="119" t="n">
        <v>0</v>
      </c>
      <c r="G93" s="119" t="n">
        <v>1</v>
      </c>
      <c r="H93" s="115" t="n">
        <f aca="false">IFERROR(SUM($F93:$G93),"")</f>
        <v>1</v>
      </c>
      <c r="J93" s="120" t="n">
        <v>20</v>
      </c>
      <c r="K93" s="121" t="n">
        <f aca="false">+$H93*J93</f>
        <v>20</v>
      </c>
      <c r="L93" s="122" t="n">
        <v>100</v>
      </c>
      <c r="M93" s="122" t="n">
        <v>0</v>
      </c>
      <c r="N93" s="121" t="n">
        <f aca="false">+$H93*L93</f>
        <v>100</v>
      </c>
      <c r="O93" s="121" t="n">
        <f aca="false">+$H93*M93</f>
        <v>0</v>
      </c>
      <c r="P93" s="121" t="n">
        <f aca="false">+SUM(N93:O93)</f>
        <v>100</v>
      </c>
      <c r="R93" s="109"/>
      <c r="S93" s="109" t="n">
        <f aca="false">+R93*$H93</f>
        <v>0</v>
      </c>
      <c r="T93" s="109"/>
      <c r="U93" s="109" t="n">
        <f aca="false">+T93*$H93</f>
        <v>0</v>
      </c>
      <c r="V93" s="109" t="n">
        <f aca="false">+T93*$V$11</f>
        <v>0</v>
      </c>
      <c r="W93" s="109" t="n">
        <f aca="false">+V93*$H93</f>
        <v>0</v>
      </c>
      <c r="X93" s="109"/>
      <c r="Y93" s="109" t="n">
        <f aca="false">+X93*$H93</f>
        <v>0</v>
      </c>
      <c r="Z93" s="109"/>
      <c r="AA93" s="109" t="n">
        <f aca="false">+Z93*$H93</f>
        <v>0</v>
      </c>
      <c r="AB93" s="109"/>
      <c r="AC93" s="109" t="n">
        <f aca="false">+AB93*$H93</f>
        <v>0</v>
      </c>
      <c r="AD93" s="109" t="n">
        <f aca="false">+R93+V93+X93+Z93+AB93</f>
        <v>0</v>
      </c>
      <c r="AE93" s="109" t="n">
        <f aca="false">+AD93*$H93</f>
        <v>0</v>
      </c>
    </row>
    <row r="94" customFormat="false" ht="16.5" hidden="true" customHeight="true" outlineLevel="0" collapsed="false">
      <c r="A94" s="102"/>
      <c r="B94" s="117" t="s">
        <v>199</v>
      </c>
      <c r="C94" s="111"/>
      <c r="D94" s="118" t="s">
        <v>200</v>
      </c>
      <c r="E94" s="113" t="s">
        <v>85</v>
      </c>
      <c r="F94" s="119" t="n">
        <v>0</v>
      </c>
      <c r="G94" s="119" t="n">
        <v>0</v>
      </c>
      <c r="H94" s="115" t="n">
        <f aca="false">IFERROR(SUM($F94:$G94),"")</f>
        <v>0</v>
      </c>
      <c r="J94" s="116"/>
      <c r="K94" s="116"/>
      <c r="L94" s="116"/>
      <c r="M94" s="116"/>
      <c r="N94" s="116"/>
      <c r="O94" s="116"/>
      <c r="P94" s="116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</row>
    <row r="95" customFormat="false" ht="16.5" hidden="true" customHeight="true" outlineLevel="0" collapsed="false">
      <c r="A95" s="102"/>
      <c r="B95" s="117" t="s">
        <v>201</v>
      </c>
      <c r="C95" s="111"/>
      <c r="D95" s="118" t="s">
        <v>202</v>
      </c>
      <c r="E95" s="113" t="s">
        <v>85</v>
      </c>
      <c r="F95" s="119" t="n">
        <v>0</v>
      </c>
      <c r="G95" s="119" t="n">
        <v>0</v>
      </c>
      <c r="H95" s="115" t="n">
        <f aca="false">IFERROR(SUM($F95:$G95),"")</f>
        <v>0</v>
      </c>
      <c r="J95" s="116"/>
      <c r="K95" s="116"/>
      <c r="L95" s="116"/>
      <c r="M95" s="116"/>
      <c r="N95" s="116"/>
      <c r="O95" s="116"/>
      <c r="P95" s="116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</row>
    <row r="96" customFormat="false" ht="16.5" hidden="true" customHeight="true" outlineLevel="0" collapsed="false">
      <c r="A96" s="102"/>
      <c r="B96" s="117" t="s">
        <v>203</v>
      </c>
      <c r="C96" s="111"/>
      <c r="D96" s="118" t="s">
        <v>204</v>
      </c>
      <c r="E96" s="113" t="s">
        <v>85</v>
      </c>
      <c r="F96" s="119" t="n">
        <v>0</v>
      </c>
      <c r="G96" s="119" t="n">
        <v>0</v>
      </c>
      <c r="H96" s="115" t="n">
        <f aca="false">IFERROR(SUM($F96:$G96),"")</f>
        <v>0</v>
      </c>
      <c r="J96" s="116"/>
      <c r="K96" s="116"/>
      <c r="L96" s="116"/>
      <c r="M96" s="116"/>
      <c r="N96" s="116"/>
      <c r="O96" s="116"/>
      <c r="P96" s="116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</row>
    <row r="97" customFormat="false" ht="16.5" hidden="false" customHeight="true" outlineLevel="0" collapsed="false">
      <c r="A97" s="102"/>
      <c r="B97" s="117" t="s">
        <v>205</v>
      </c>
      <c r="C97" s="111"/>
      <c r="D97" s="118" t="s">
        <v>206</v>
      </c>
      <c r="E97" s="113" t="s">
        <v>85</v>
      </c>
      <c r="F97" s="119" t="n">
        <v>0</v>
      </c>
      <c r="G97" s="119" t="n">
        <v>1</v>
      </c>
      <c r="H97" s="115" t="n">
        <f aca="false">IFERROR(SUM($F97:$G97),"")</f>
        <v>1</v>
      </c>
      <c r="J97" s="120" t="n">
        <v>26</v>
      </c>
      <c r="K97" s="121" t="n">
        <f aca="false">+$H97*J97</f>
        <v>26</v>
      </c>
      <c r="L97" s="122" t="n">
        <v>130</v>
      </c>
      <c r="M97" s="122" t="n">
        <v>0</v>
      </c>
      <c r="N97" s="121" t="n">
        <f aca="false">+$H97*L97</f>
        <v>130</v>
      </c>
      <c r="O97" s="121" t="n">
        <f aca="false">+$H97*M97</f>
        <v>0</v>
      </c>
      <c r="P97" s="121" t="n">
        <f aca="false">+SUM(N97:O97)</f>
        <v>130</v>
      </c>
      <c r="R97" s="109"/>
      <c r="S97" s="109" t="n">
        <f aca="false">+R97*$H97</f>
        <v>0</v>
      </c>
      <c r="T97" s="109"/>
      <c r="U97" s="109" t="n">
        <f aca="false">+T97*$H97</f>
        <v>0</v>
      </c>
      <c r="V97" s="109" t="n">
        <f aca="false">+T97*$V$11</f>
        <v>0</v>
      </c>
      <c r="W97" s="109" t="n">
        <f aca="false">+V97*$H97</f>
        <v>0</v>
      </c>
      <c r="X97" s="109"/>
      <c r="Y97" s="109" t="n">
        <f aca="false">+X97*$H97</f>
        <v>0</v>
      </c>
      <c r="Z97" s="109"/>
      <c r="AA97" s="109" t="n">
        <f aca="false">+Z97*$H97</f>
        <v>0</v>
      </c>
      <c r="AB97" s="109"/>
      <c r="AC97" s="109" t="n">
        <f aca="false">+AB97*$H97</f>
        <v>0</v>
      </c>
      <c r="AD97" s="109" t="n">
        <f aca="false">+R97+V97+X97+Z97+AB97</f>
        <v>0</v>
      </c>
      <c r="AE97" s="109" t="n">
        <f aca="false">+AD97*$H97</f>
        <v>0</v>
      </c>
    </row>
    <row r="98" customFormat="false" ht="16.5" hidden="true" customHeight="true" outlineLevel="0" collapsed="false">
      <c r="A98" s="102"/>
      <c r="B98" s="117" t="s">
        <v>207</v>
      </c>
      <c r="C98" s="111"/>
      <c r="D98" s="118" t="s">
        <v>208</v>
      </c>
      <c r="E98" s="113" t="s">
        <v>85</v>
      </c>
      <c r="F98" s="119" t="n">
        <v>0</v>
      </c>
      <c r="G98" s="119" t="n">
        <v>0</v>
      </c>
      <c r="H98" s="115" t="n">
        <f aca="false">IFERROR(SUM($F98:$G98),"")</f>
        <v>0</v>
      </c>
      <c r="J98" s="116"/>
      <c r="K98" s="116"/>
      <c r="L98" s="116"/>
      <c r="M98" s="116"/>
      <c r="N98" s="116"/>
      <c r="O98" s="116"/>
      <c r="P98" s="116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</row>
    <row r="99" customFormat="false" ht="16.5" hidden="true" customHeight="true" outlineLevel="0" collapsed="false">
      <c r="A99" s="102"/>
      <c r="B99" s="117" t="s">
        <v>209</v>
      </c>
      <c r="C99" s="111"/>
      <c r="D99" s="118" t="s">
        <v>210</v>
      </c>
      <c r="E99" s="113" t="s">
        <v>85</v>
      </c>
      <c r="F99" s="119" t="n">
        <v>0</v>
      </c>
      <c r="G99" s="119" t="n">
        <v>0</v>
      </c>
      <c r="H99" s="115" t="n">
        <f aca="false">IFERROR(SUM($F99:$G99),"")</f>
        <v>0</v>
      </c>
      <c r="J99" s="116"/>
      <c r="K99" s="116"/>
      <c r="L99" s="116"/>
      <c r="M99" s="116"/>
      <c r="N99" s="116"/>
      <c r="O99" s="116"/>
      <c r="P99" s="116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</row>
    <row r="100" customFormat="false" ht="16.5" hidden="false" customHeight="true" outlineLevel="0" collapsed="false">
      <c r="A100" s="102"/>
      <c r="B100" s="110" t="s">
        <v>211</v>
      </c>
      <c r="C100" s="111"/>
      <c r="D100" s="123" t="s">
        <v>212</v>
      </c>
      <c r="E100" s="113"/>
      <c r="F100" s="119" t="n">
        <v>0</v>
      </c>
      <c r="G100" s="119" t="n">
        <v>0</v>
      </c>
      <c r="H100" s="115" t="n">
        <f aca="false">IFERROR(SUM($F100:$G100),"")</f>
        <v>0</v>
      </c>
      <c r="J100" s="116"/>
      <c r="K100" s="116"/>
      <c r="L100" s="116"/>
      <c r="M100" s="116"/>
      <c r="N100" s="116"/>
      <c r="O100" s="116"/>
      <c r="P100" s="116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</row>
    <row r="101" customFormat="false" ht="16.5" hidden="true" customHeight="true" outlineLevel="0" collapsed="false">
      <c r="A101" s="102"/>
      <c r="B101" s="117" t="s">
        <v>213</v>
      </c>
      <c r="C101" s="111"/>
      <c r="D101" s="118" t="s">
        <v>214</v>
      </c>
      <c r="E101" s="113" t="s">
        <v>75</v>
      </c>
      <c r="F101" s="119" t="n">
        <v>0</v>
      </c>
      <c r="G101" s="119" t="n">
        <v>0</v>
      </c>
      <c r="H101" s="115" t="n">
        <f aca="false">IFERROR(SUM($F101:$G101),"")</f>
        <v>0</v>
      </c>
      <c r="J101" s="116"/>
      <c r="K101" s="116"/>
      <c r="L101" s="116"/>
      <c r="M101" s="116"/>
      <c r="N101" s="116"/>
      <c r="O101" s="116"/>
      <c r="P101" s="116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</row>
    <row r="102" customFormat="false" ht="16.5" hidden="true" customHeight="true" outlineLevel="0" collapsed="false">
      <c r="A102" s="102"/>
      <c r="B102" s="117" t="s">
        <v>215</v>
      </c>
      <c r="C102" s="111"/>
      <c r="D102" s="118" t="s">
        <v>216</v>
      </c>
      <c r="E102" s="113" t="s">
        <v>75</v>
      </c>
      <c r="F102" s="119" t="n">
        <v>0</v>
      </c>
      <c r="G102" s="119" t="n">
        <v>0</v>
      </c>
      <c r="H102" s="115" t="n">
        <f aca="false">IFERROR(SUM($F102:$G102),"")</f>
        <v>0</v>
      </c>
      <c r="J102" s="116"/>
      <c r="K102" s="116"/>
      <c r="L102" s="116"/>
      <c r="M102" s="116"/>
      <c r="N102" s="116"/>
      <c r="O102" s="116"/>
      <c r="P102" s="116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</row>
    <row r="103" customFormat="false" ht="16.5" hidden="true" customHeight="true" outlineLevel="0" collapsed="false">
      <c r="A103" s="102"/>
      <c r="B103" s="117" t="s">
        <v>217</v>
      </c>
      <c r="C103" s="111"/>
      <c r="D103" s="118" t="s">
        <v>218</v>
      </c>
      <c r="E103" s="113" t="s">
        <v>75</v>
      </c>
      <c r="F103" s="119" t="n">
        <v>0</v>
      </c>
      <c r="G103" s="119" t="n">
        <v>0</v>
      </c>
      <c r="H103" s="115" t="n">
        <f aca="false">IFERROR(SUM($F103:$G103),"")</f>
        <v>0</v>
      </c>
      <c r="J103" s="116"/>
      <c r="K103" s="116"/>
      <c r="L103" s="116"/>
      <c r="M103" s="116"/>
      <c r="N103" s="116"/>
      <c r="O103" s="116"/>
      <c r="P103" s="116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</row>
    <row r="104" customFormat="false" ht="16.5" hidden="false" customHeight="true" outlineLevel="0" collapsed="false">
      <c r="A104" s="102"/>
      <c r="B104" s="117" t="s">
        <v>219</v>
      </c>
      <c r="C104" s="111"/>
      <c r="D104" s="118" t="s">
        <v>220</v>
      </c>
      <c r="E104" s="113" t="s">
        <v>75</v>
      </c>
      <c r="F104" s="119" t="n">
        <v>0</v>
      </c>
      <c r="G104" s="119" t="n">
        <v>120</v>
      </c>
      <c r="H104" s="115" t="n">
        <f aca="false">IFERROR(SUM($F104:$G104),"")</f>
        <v>120</v>
      </c>
      <c r="J104" s="120" t="n">
        <v>2.8</v>
      </c>
      <c r="K104" s="121" t="n">
        <f aca="false">+$H104*J104</f>
        <v>336</v>
      </c>
      <c r="L104" s="122" t="n">
        <v>14</v>
      </c>
      <c r="M104" s="122" t="n">
        <v>0</v>
      </c>
      <c r="N104" s="121" t="n">
        <f aca="false">+$H104*L104</f>
        <v>1680</v>
      </c>
      <c r="O104" s="121" t="n">
        <f aca="false">+$H104*M104</f>
        <v>0</v>
      </c>
      <c r="P104" s="121" t="n">
        <f aca="false">+SUM(N104:O104)</f>
        <v>1680</v>
      </c>
      <c r="R104" s="109"/>
      <c r="S104" s="109" t="n">
        <f aca="false">+R104*$H104</f>
        <v>0</v>
      </c>
      <c r="T104" s="109"/>
      <c r="U104" s="109" t="n">
        <f aca="false">+T104*$H104</f>
        <v>0</v>
      </c>
      <c r="V104" s="109" t="n">
        <f aca="false">+T104*$V$11</f>
        <v>0</v>
      </c>
      <c r="W104" s="109" t="n">
        <f aca="false">+V104*$H104</f>
        <v>0</v>
      </c>
      <c r="X104" s="109"/>
      <c r="Y104" s="109" t="n">
        <f aca="false">+X104*$H104</f>
        <v>0</v>
      </c>
      <c r="Z104" s="109"/>
      <c r="AA104" s="109" t="n">
        <f aca="false">+Z104*$H104</f>
        <v>0</v>
      </c>
      <c r="AB104" s="109"/>
      <c r="AC104" s="109" t="n">
        <f aca="false">+AB104*$H104</f>
        <v>0</v>
      </c>
      <c r="AD104" s="109" t="n">
        <f aca="false">+R104+V104+X104+Z104+AB104</f>
        <v>0</v>
      </c>
      <c r="AE104" s="109" t="n">
        <f aca="false">+AD104*$H104</f>
        <v>0</v>
      </c>
    </row>
    <row r="105" customFormat="false" ht="16.5" hidden="true" customHeight="true" outlineLevel="0" collapsed="false">
      <c r="A105" s="102"/>
      <c r="B105" s="117" t="s">
        <v>221</v>
      </c>
      <c r="C105" s="111"/>
      <c r="D105" s="118" t="s">
        <v>222</v>
      </c>
      <c r="E105" s="113" t="s">
        <v>75</v>
      </c>
      <c r="F105" s="119" t="n">
        <v>0</v>
      </c>
      <c r="G105" s="119" t="n">
        <v>0</v>
      </c>
      <c r="H105" s="115" t="n">
        <f aca="false">IFERROR(SUM($F105:$G105),"")</f>
        <v>0</v>
      </c>
      <c r="J105" s="116"/>
      <c r="K105" s="116"/>
      <c r="L105" s="116"/>
      <c r="M105" s="116"/>
      <c r="N105" s="116"/>
      <c r="O105" s="116"/>
      <c r="P105" s="116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</row>
    <row r="106" customFormat="false" ht="16.5" hidden="true" customHeight="true" outlineLevel="0" collapsed="false">
      <c r="A106" s="102"/>
      <c r="B106" s="117" t="s">
        <v>223</v>
      </c>
      <c r="C106" s="111"/>
      <c r="D106" s="118" t="s">
        <v>224</v>
      </c>
      <c r="E106" s="113" t="s">
        <v>75</v>
      </c>
      <c r="F106" s="119" t="n">
        <v>0</v>
      </c>
      <c r="G106" s="119" t="n">
        <v>0</v>
      </c>
      <c r="H106" s="115" t="n">
        <f aca="false">IFERROR(SUM($F106:$G106),"")</f>
        <v>0</v>
      </c>
      <c r="J106" s="116"/>
      <c r="K106" s="116"/>
      <c r="L106" s="116"/>
      <c r="M106" s="116"/>
      <c r="N106" s="116"/>
      <c r="O106" s="116"/>
      <c r="P106" s="116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</row>
    <row r="107" customFormat="false" ht="16.5" hidden="false" customHeight="true" outlineLevel="0" collapsed="false">
      <c r="A107" s="102"/>
      <c r="B107" s="110" t="s">
        <v>225</v>
      </c>
      <c r="C107" s="111"/>
      <c r="D107" s="123" t="s">
        <v>226</v>
      </c>
      <c r="E107" s="113"/>
      <c r="F107" s="119" t="n">
        <v>0</v>
      </c>
      <c r="G107" s="119" t="n">
        <v>0</v>
      </c>
      <c r="H107" s="115" t="n">
        <f aca="false">IFERROR(SUM($F107:$G107),"")</f>
        <v>0</v>
      </c>
      <c r="J107" s="116"/>
      <c r="K107" s="116"/>
      <c r="L107" s="116"/>
      <c r="M107" s="116"/>
      <c r="N107" s="116"/>
      <c r="O107" s="116"/>
      <c r="P107" s="116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</row>
    <row r="108" customFormat="false" ht="16.5" hidden="true" customHeight="true" outlineLevel="0" collapsed="false">
      <c r="A108" s="102"/>
      <c r="B108" s="117" t="s">
        <v>227</v>
      </c>
      <c r="C108" s="111"/>
      <c r="D108" s="118" t="s">
        <v>228</v>
      </c>
      <c r="E108" s="113" t="s">
        <v>85</v>
      </c>
      <c r="F108" s="119" t="n">
        <v>0</v>
      </c>
      <c r="G108" s="119" t="n">
        <v>0</v>
      </c>
      <c r="H108" s="115" t="n">
        <f aca="false">IFERROR(SUM($F108:$G108),"")</f>
        <v>0</v>
      </c>
      <c r="J108" s="116"/>
      <c r="K108" s="116"/>
      <c r="L108" s="116"/>
      <c r="M108" s="116"/>
      <c r="N108" s="116"/>
      <c r="O108" s="116"/>
      <c r="P108" s="116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</row>
    <row r="109" customFormat="false" ht="16.5" hidden="false" customHeight="true" outlineLevel="0" collapsed="false">
      <c r="A109" s="102"/>
      <c r="B109" s="117" t="s">
        <v>229</v>
      </c>
      <c r="C109" s="111"/>
      <c r="D109" s="118" t="s">
        <v>230</v>
      </c>
      <c r="E109" s="113" t="s">
        <v>85</v>
      </c>
      <c r="F109" s="119" t="n">
        <v>0</v>
      </c>
      <c r="G109" s="119" t="n">
        <v>2</v>
      </c>
      <c r="H109" s="115" t="n">
        <f aca="false">IFERROR(SUM($F109:$G109),"")</f>
        <v>2</v>
      </c>
      <c r="J109" s="120" t="n">
        <v>32</v>
      </c>
      <c r="K109" s="121" t="n">
        <f aca="false">+$H109*J109</f>
        <v>64</v>
      </c>
      <c r="L109" s="122" t="n">
        <v>160</v>
      </c>
      <c r="M109" s="122" t="n">
        <v>0</v>
      </c>
      <c r="N109" s="121" t="n">
        <f aca="false">+$H109*L109</f>
        <v>320</v>
      </c>
      <c r="O109" s="121" t="n">
        <f aca="false">+$H109*M109</f>
        <v>0</v>
      </c>
      <c r="P109" s="121" t="n">
        <f aca="false">+SUM(N109:O109)</f>
        <v>320</v>
      </c>
      <c r="R109" s="109"/>
      <c r="S109" s="109" t="n">
        <f aca="false">+R109*$H109</f>
        <v>0</v>
      </c>
      <c r="T109" s="109"/>
      <c r="U109" s="109" t="n">
        <f aca="false">+T109*$H109</f>
        <v>0</v>
      </c>
      <c r="V109" s="109" t="n">
        <f aca="false">+T109*$V$11</f>
        <v>0</v>
      </c>
      <c r="W109" s="109" t="n">
        <f aca="false">+V109*$H109</f>
        <v>0</v>
      </c>
      <c r="X109" s="109"/>
      <c r="Y109" s="109" t="n">
        <f aca="false">+X109*$H109</f>
        <v>0</v>
      </c>
      <c r="Z109" s="109"/>
      <c r="AA109" s="109" t="n">
        <f aca="false">+Z109*$H109</f>
        <v>0</v>
      </c>
      <c r="AB109" s="109"/>
      <c r="AC109" s="109" t="n">
        <f aca="false">+AB109*$H109</f>
        <v>0</v>
      </c>
      <c r="AD109" s="109" t="n">
        <f aca="false">+R109+V109+X109+Z109+AB109</f>
        <v>0</v>
      </c>
      <c r="AE109" s="109" t="n">
        <f aca="false">+AD109*$H109</f>
        <v>0</v>
      </c>
    </row>
    <row r="110" customFormat="false" ht="16.5" hidden="true" customHeight="true" outlineLevel="0" collapsed="false">
      <c r="A110" s="102"/>
      <c r="B110" s="117" t="s">
        <v>231</v>
      </c>
      <c r="C110" s="111"/>
      <c r="D110" s="118" t="s">
        <v>232</v>
      </c>
      <c r="E110" s="113" t="s">
        <v>85</v>
      </c>
      <c r="F110" s="119" t="n">
        <v>0</v>
      </c>
      <c r="G110" s="119" t="n">
        <v>0</v>
      </c>
      <c r="H110" s="115" t="n">
        <f aca="false">IFERROR(SUM($F110:$G110),"")</f>
        <v>0</v>
      </c>
      <c r="J110" s="116"/>
      <c r="K110" s="116"/>
      <c r="L110" s="116"/>
      <c r="M110" s="116"/>
      <c r="N110" s="116"/>
      <c r="O110" s="116"/>
      <c r="P110" s="116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</row>
    <row r="111" customFormat="false" ht="16.5" hidden="true" customHeight="true" outlineLevel="0" collapsed="false">
      <c r="A111" s="102"/>
      <c r="B111" s="117" t="s">
        <v>233</v>
      </c>
      <c r="C111" s="111"/>
      <c r="D111" s="118" t="s">
        <v>234</v>
      </c>
      <c r="E111" s="113" t="s">
        <v>85</v>
      </c>
      <c r="F111" s="119" t="n">
        <v>0</v>
      </c>
      <c r="G111" s="119" t="n">
        <v>0</v>
      </c>
      <c r="H111" s="115" t="n">
        <f aca="false">IFERROR(SUM($F111:$G111),"")</f>
        <v>0</v>
      </c>
      <c r="J111" s="116"/>
      <c r="K111" s="116"/>
      <c r="L111" s="116"/>
      <c r="M111" s="116"/>
      <c r="N111" s="116"/>
      <c r="O111" s="116"/>
      <c r="P111" s="116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</row>
    <row r="112" customFormat="false" ht="16.5" hidden="true" customHeight="true" outlineLevel="0" collapsed="false">
      <c r="A112" s="102"/>
      <c r="B112" s="110" t="s">
        <v>235</v>
      </c>
      <c r="C112" s="111"/>
      <c r="D112" s="123" t="s">
        <v>236</v>
      </c>
      <c r="E112" s="113"/>
      <c r="F112" s="119" t="n">
        <v>0</v>
      </c>
      <c r="G112" s="119" t="n">
        <v>0</v>
      </c>
      <c r="H112" s="115" t="n">
        <f aca="false">IFERROR(SUM($F112:$G112),"")</f>
        <v>0</v>
      </c>
      <c r="J112" s="116"/>
      <c r="K112" s="116"/>
      <c r="L112" s="116"/>
      <c r="M112" s="116"/>
      <c r="N112" s="116"/>
      <c r="O112" s="116"/>
      <c r="P112" s="116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</row>
    <row r="113" customFormat="false" ht="16.5" hidden="true" customHeight="true" outlineLevel="0" collapsed="false">
      <c r="A113" s="102"/>
      <c r="B113" s="117" t="s">
        <v>237</v>
      </c>
      <c r="C113" s="111"/>
      <c r="D113" s="118" t="s">
        <v>238</v>
      </c>
      <c r="E113" s="113" t="s">
        <v>85</v>
      </c>
      <c r="F113" s="119" t="n">
        <v>0</v>
      </c>
      <c r="G113" s="119" t="n">
        <v>0</v>
      </c>
      <c r="H113" s="115" t="n">
        <f aca="false">IFERROR(SUM($F113:$G113),"")</f>
        <v>0</v>
      </c>
      <c r="J113" s="116"/>
      <c r="K113" s="116"/>
      <c r="L113" s="116"/>
      <c r="M113" s="116"/>
      <c r="N113" s="116"/>
      <c r="O113" s="116"/>
      <c r="P113" s="116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</row>
    <row r="114" customFormat="false" ht="16.5" hidden="true" customHeight="true" outlineLevel="0" collapsed="false">
      <c r="A114" s="102"/>
      <c r="B114" s="117" t="s">
        <v>239</v>
      </c>
      <c r="C114" s="111"/>
      <c r="D114" s="118" t="s">
        <v>240</v>
      </c>
      <c r="E114" s="113" t="s">
        <v>85</v>
      </c>
      <c r="F114" s="119" t="n">
        <v>0</v>
      </c>
      <c r="G114" s="119" t="n">
        <v>0</v>
      </c>
      <c r="H114" s="115" t="n">
        <f aca="false">IFERROR(SUM($F114:$G114),"")</f>
        <v>0</v>
      </c>
      <c r="J114" s="116"/>
      <c r="K114" s="116"/>
      <c r="L114" s="116"/>
      <c r="M114" s="116"/>
      <c r="N114" s="116"/>
      <c r="O114" s="116"/>
      <c r="P114" s="116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</row>
    <row r="115" customFormat="false" ht="16.5" hidden="true" customHeight="true" outlineLevel="0" collapsed="false">
      <c r="A115" s="102"/>
      <c r="B115" s="117" t="s">
        <v>241</v>
      </c>
      <c r="C115" s="111"/>
      <c r="D115" s="118" t="s">
        <v>242</v>
      </c>
      <c r="E115" s="113" t="s">
        <v>85</v>
      </c>
      <c r="F115" s="119" t="n">
        <v>0</v>
      </c>
      <c r="G115" s="119" t="n">
        <v>0</v>
      </c>
      <c r="H115" s="115" t="n">
        <f aca="false">IFERROR(SUM($F115:$G115),"")</f>
        <v>0</v>
      </c>
      <c r="J115" s="116"/>
      <c r="K115" s="116"/>
      <c r="L115" s="116"/>
      <c r="M115" s="116"/>
      <c r="N115" s="116"/>
      <c r="O115" s="116"/>
      <c r="P115" s="116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</row>
    <row r="116" customFormat="false" ht="16.5" hidden="true" customHeight="true" outlineLevel="0" collapsed="false">
      <c r="A116" s="102"/>
      <c r="B116" s="117" t="s">
        <v>243</v>
      </c>
      <c r="C116" s="111"/>
      <c r="D116" s="118" t="s">
        <v>244</v>
      </c>
      <c r="E116" s="113" t="s">
        <v>85</v>
      </c>
      <c r="F116" s="119" t="n">
        <v>0</v>
      </c>
      <c r="G116" s="119" t="n">
        <v>0</v>
      </c>
      <c r="H116" s="115" t="n">
        <f aca="false">IFERROR(SUM($F116:$G116),"")</f>
        <v>0</v>
      </c>
      <c r="J116" s="116"/>
      <c r="K116" s="116"/>
      <c r="L116" s="116"/>
      <c r="M116" s="116"/>
      <c r="N116" s="116"/>
      <c r="O116" s="116"/>
      <c r="P116" s="116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</row>
    <row r="117" customFormat="false" ht="16.5" hidden="false" customHeight="true" outlineLevel="0" collapsed="false">
      <c r="A117" s="102"/>
      <c r="B117" s="110" t="s">
        <v>245</v>
      </c>
      <c r="C117" s="111"/>
      <c r="D117" s="123" t="s">
        <v>246</v>
      </c>
      <c r="E117" s="113"/>
      <c r="F117" s="119" t="n">
        <v>0</v>
      </c>
      <c r="G117" s="119" t="n">
        <v>0</v>
      </c>
      <c r="H117" s="115" t="n">
        <f aca="false">IFERROR(SUM($F117:$G117),"")</f>
        <v>0</v>
      </c>
      <c r="J117" s="116"/>
      <c r="K117" s="116"/>
      <c r="L117" s="116"/>
      <c r="M117" s="116"/>
      <c r="N117" s="116"/>
      <c r="O117" s="116"/>
      <c r="P117" s="116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</row>
    <row r="118" customFormat="false" ht="16.5" hidden="false" customHeight="true" outlineLevel="0" collapsed="false">
      <c r="A118" s="102"/>
      <c r="B118" s="117" t="s">
        <v>247</v>
      </c>
      <c r="C118" s="111"/>
      <c r="D118" s="118" t="s">
        <v>248</v>
      </c>
      <c r="E118" s="113" t="s">
        <v>85</v>
      </c>
      <c r="F118" s="119" t="n">
        <v>0</v>
      </c>
      <c r="G118" s="119" t="n">
        <v>1</v>
      </c>
      <c r="H118" s="115" t="n">
        <f aca="false">IFERROR(SUM($F118:$G118),"")</f>
        <v>1</v>
      </c>
      <c r="J118" s="120" t="n">
        <v>38</v>
      </c>
      <c r="K118" s="121" t="n">
        <f aca="false">+$H118*J118</f>
        <v>38</v>
      </c>
      <c r="L118" s="122" t="n">
        <v>190</v>
      </c>
      <c r="M118" s="122" t="n">
        <v>0</v>
      </c>
      <c r="N118" s="121" t="n">
        <f aca="false">+$H118*L118</f>
        <v>190</v>
      </c>
      <c r="O118" s="121" t="n">
        <f aca="false">+$H118*M118</f>
        <v>0</v>
      </c>
      <c r="P118" s="121" t="n">
        <f aca="false">+SUM(N118:O118)</f>
        <v>190</v>
      </c>
      <c r="R118" s="109"/>
      <c r="S118" s="109" t="n">
        <f aca="false">+R118*$H118</f>
        <v>0</v>
      </c>
      <c r="T118" s="109"/>
      <c r="U118" s="109" t="n">
        <f aca="false">+T118*$H118</f>
        <v>0</v>
      </c>
      <c r="V118" s="109" t="n">
        <f aca="false">+T118*$V$11</f>
        <v>0</v>
      </c>
      <c r="W118" s="109" t="n">
        <f aca="false">+V118*$H118</f>
        <v>0</v>
      </c>
      <c r="X118" s="109"/>
      <c r="Y118" s="109" t="n">
        <f aca="false">+X118*$H118</f>
        <v>0</v>
      </c>
      <c r="Z118" s="109"/>
      <c r="AA118" s="109" t="n">
        <f aca="false">+Z118*$H118</f>
        <v>0</v>
      </c>
      <c r="AB118" s="109"/>
      <c r="AC118" s="109" t="n">
        <f aca="false">+AB118*$H118</f>
        <v>0</v>
      </c>
      <c r="AD118" s="109" t="n">
        <f aca="false">+R118+V118+X118+Z118+AB118</f>
        <v>0</v>
      </c>
      <c r="AE118" s="109" t="n">
        <f aca="false">+AD118*$H118</f>
        <v>0</v>
      </c>
    </row>
    <row r="119" customFormat="false" ht="16.5" hidden="false" customHeight="true" outlineLevel="0" collapsed="false">
      <c r="A119" s="102"/>
      <c r="B119" s="117" t="s">
        <v>249</v>
      </c>
      <c r="C119" s="111"/>
      <c r="D119" s="118" t="s">
        <v>250</v>
      </c>
      <c r="E119" s="113" t="s">
        <v>85</v>
      </c>
      <c r="F119" s="119" t="n">
        <v>0</v>
      </c>
      <c r="G119" s="119" t="n">
        <v>1</v>
      </c>
      <c r="H119" s="115" t="n">
        <f aca="false">IFERROR(SUM($F119:$G119),"")</f>
        <v>1</v>
      </c>
      <c r="J119" s="120" t="n">
        <v>45</v>
      </c>
      <c r="K119" s="121" t="n">
        <f aca="false">+$H119*J119</f>
        <v>45</v>
      </c>
      <c r="L119" s="122" t="n">
        <v>225</v>
      </c>
      <c r="M119" s="122" t="n">
        <v>0</v>
      </c>
      <c r="N119" s="121" t="n">
        <f aca="false">+$H119*L119</f>
        <v>225</v>
      </c>
      <c r="O119" s="121" t="n">
        <f aca="false">+$H119*M119</f>
        <v>0</v>
      </c>
      <c r="P119" s="121" t="n">
        <f aca="false">+SUM(N119:O119)</f>
        <v>225</v>
      </c>
      <c r="R119" s="109"/>
      <c r="S119" s="109" t="n">
        <f aca="false">+R119*$H119</f>
        <v>0</v>
      </c>
      <c r="T119" s="109"/>
      <c r="U119" s="109" t="n">
        <f aca="false">+T119*$H119</f>
        <v>0</v>
      </c>
      <c r="V119" s="109" t="n">
        <f aca="false">+T119*$V$11</f>
        <v>0</v>
      </c>
      <c r="W119" s="109" t="n">
        <f aca="false">+V119*$H119</f>
        <v>0</v>
      </c>
      <c r="X119" s="109"/>
      <c r="Y119" s="109" t="n">
        <f aca="false">+X119*$H119</f>
        <v>0</v>
      </c>
      <c r="Z119" s="109"/>
      <c r="AA119" s="109" t="n">
        <f aca="false">+Z119*$H119</f>
        <v>0</v>
      </c>
      <c r="AB119" s="109"/>
      <c r="AC119" s="109" t="n">
        <f aca="false">+AB119*$H119</f>
        <v>0</v>
      </c>
      <c r="AD119" s="109" t="n">
        <f aca="false">+R119+V119+X119+Z119+AB119</f>
        <v>0</v>
      </c>
      <c r="AE119" s="109" t="n">
        <f aca="false">+AD119*$H119</f>
        <v>0</v>
      </c>
    </row>
    <row r="120" customFormat="false" ht="16.5" hidden="false" customHeight="true" outlineLevel="0" collapsed="false">
      <c r="A120" s="102"/>
      <c r="B120" s="110" t="s">
        <v>251</v>
      </c>
      <c r="C120" s="111"/>
      <c r="D120" s="123" t="s">
        <v>252</v>
      </c>
      <c r="E120" s="113"/>
      <c r="F120" s="119" t="n">
        <v>0</v>
      </c>
      <c r="G120" s="119" t="n">
        <v>0</v>
      </c>
      <c r="H120" s="115" t="n">
        <f aca="false">IFERROR(SUM($F120:$G120),"")</f>
        <v>0</v>
      </c>
      <c r="J120" s="116"/>
      <c r="K120" s="116"/>
      <c r="L120" s="116"/>
      <c r="M120" s="116"/>
      <c r="N120" s="116"/>
      <c r="O120" s="116"/>
      <c r="P120" s="116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</row>
    <row r="121" customFormat="false" ht="16.5" hidden="false" customHeight="true" outlineLevel="0" collapsed="false">
      <c r="A121" s="102"/>
      <c r="B121" s="117" t="s">
        <v>253</v>
      </c>
      <c r="C121" s="111"/>
      <c r="D121" s="118" t="s">
        <v>254</v>
      </c>
      <c r="E121" s="113" t="s">
        <v>85</v>
      </c>
      <c r="F121" s="119" t="n">
        <v>0</v>
      </c>
      <c r="G121" s="119" t="n">
        <v>1</v>
      </c>
      <c r="H121" s="115" t="n">
        <f aca="false">IFERROR(SUM($F121:$G121),"")</f>
        <v>1</v>
      </c>
      <c r="J121" s="120" t="n">
        <v>26</v>
      </c>
      <c r="K121" s="121" t="n">
        <f aca="false">+$H121*J121</f>
        <v>26</v>
      </c>
      <c r="L121" s="122" t="n">
        <v>130</v>
      </c>
      <c r="M121" s="122" t="n">
        <v>0</v>
      </c>
      <c r="N121" s="121" t="n">
        <f aca="false">+$H121*L121</f>
        <v>130</v>
      </c>
      <c r="O121" s="121" t="n">
        <f aca="false">+$H121*M121</f>
        <v>0</v>
      </c>
      <c r="P121" s="121" t="n">
        <f aca="false">+SUM(N121:O121)</f>
        <v>130</v>
      </c>
      <c r="R121" s="109"/>
      <c r="S121" s="109" t="n">
        <f aca="false">+R121*$H121</f>
        <v>0</v>
      </c>
      <c r="T121" s="109"/>
      <c r="U121" s="109" t="n">
        <f aca="false">+T121*$H121</f>
        <v>0</v>
      </c>
      <c r="V121" s="109" t="n">
        <f aca="false">+T121*$V$11</f>
        <v>0</v>
      </c>
      <c r="W121" s="109" t="n">
        <f aca="false">+V121*$H121</f>
        <v>0</v>
      </c>
      <c r="X121" s="109"/>
      <c r="Y121" s="109" t="n">
        <f aca="false">+X121*$H121</f>
        <v>0</v>
      </c>
      <c r="Z121" s="109"/>
      <c r="AA121" s="109" t="n">
        <f aca="false">+Z121*$H121</f>
        <v>0</v>
      </c>
      <c r="AB121" s="109"/>
      <c r="AC121" s="109" t="n">
        <f aca="false">+AB121*$H121</f>
        <v>0</v>
      </c>
      <c r="AD121" s="109" t="n">
        <f aca="false">+R121+V121+X121+Z121+AB121</f>
        <v>0</v>
      </c>
      <c r="AE121" s="109" t="n">
        <f aca="false">+AD121*$H121</f>
        <v>0</v>
      </c>
    </row>
    <row r="122" customFormat="false" ht="16.5" hidden="false" customHeight="true" outlineLevel="0" collapsed="false">
      <c r="A122" s="102"/>
      <c r="B122" s="117" t="s">
        <v>255</v>
      </c>
      <c r="C122" s="111"/>
      <c r="D122" s="118" t="s">
        <v>256</v>
      </c>
      <c r="E122" s="113" t="s">
        <v>85</v>
      </c>
      <c r="F122" s="119" t="n">
        <v>0</v>
      </c>
      <c r="G122" s="119" t="n">
        <v>0</v>
      </c>
      <c r="H122" s="115" t="n">
        <f aca="false">IFERROR(SUM($F122:$G122),"")</f>
        <v>0</v>
      </c>
      <c r="J122" s="116"/>
      <c r="K122" s="116"/>
      <c r="L122" s="116"/>
      <c r="M122" s="116"/>
      <c r="N122" s="116"/>
      <c r="O122" s="116"/>
      <c r="P122" s="116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</row>
    <row r="123" customFormat="false" ht="16.5" hidden="false" customHeight="true" outlineLevel="0" collapsed="false">
      <c r="A123" s="102"/>
      <c r="B123" s="110" t="s">
        <v>257</v>
      </c>
      <c r="C123" s="111"/>
      <c r="D123" s="123" t="s">
        <v>258</v>
      </c>
      <c r="E123" s="113"/>
      <c r="F123" s="119" t="n">
        <v>0</v>
      </c>
      <c r="G123" s="119" t="n">
        <v>0</v>
      </c>
      <c r="H123" s="115" t="n">
        <f aca="false">IFERROR(SUM($F123:$G123),"")</f>
        <v>0</v>
      </c>
      <c r="J123" s="116"/>
      <c r="K123" s="116"/>
      <c r="L123" s="116"/>
      <c r="M123" s="116"/>
      <c r="N123" s="116"/>
      <c r="O123" s="116"/>
      <c r="P123" s="116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</row>
    <row r="124" customFormat="false" ht="16.5" hidden="false" customHeight="true" outlineLevel="0" collapsed="false">
      <c r="A124" s="102"/>
      <c r="B124" s="117" t="s">
        <v>259</v>
      </c>
      <c r="C124" s="111"/>
      <c r="D124" s="118" t="s">
        <v>260</v>
      </c>
      <c r="E124" s="113" t="s">
        <v>85</v>
      </c>
      <c r="F124" s="119" t="n">
        <v>0</v>
      </c>
      <c r="G124" s="119" t="n">
        <v>3</v>
      </c>
      <c r="H124" s="115" t="n">
        <f aca="false">IFERROR(SUM($F124:$G124),"")</f>
        <v>3</v>
      </c>
      <c r="J124" s="120" t="n">
        <v>22</v>
      </c>
      <c r="K124" s="121" t="n">
        <f aca="false">+$H124*J124</f>
        <v>66</v>
      </c>
      <c r="L124" s="122" t="n">
        <v>110</v>
      </c>
      <c r="M124" s="122" t="n">
        <v>0</v>
      </c>
      <c r="N124" s="121" t="n">
        <f aca="false">+$H124*L124</f>
        <v>330</v>
      </c>
      <c r="O124" s="121" t="n">
        <f aca="false">+$H124*M124</f>
        <v>0</v>
      </c>
      <c r="P124" s="121" t="n">
        <f aca="false">+SUM(N124:O124)</f>
        <v>330</v>
      </c>
      <c r="R124" s="109"/>
      <c r="S124" s="109" t="n">
        <f aca="false">+R124*$H124</f>
        <v>0</v>
      </c>
      <c r="T124" s="109"/>
      <c r="U124" s="109" t="n">
        <f aca="false">+T124*$H124</f>
        <v>0</v>
      </c>
      <c r="V124" s="109" t="n">
        <f aca="false">+T124*$V$11</f>
        <v>0</v>
      </c>
      <c r="W124" s="109" t="n">
        <f aca="false">+V124*$H124</f>
        <v>0</v>
      </c>
      <c r="X124" s="109"/>
      <c r="Y124" s="109" t="n">
        <f aca="false">+X124*$H124</f>
        <v>0</v>
      </c>
      <c r="Z124" s="109"/>
      <c r="AA124" s="109" t="n">
        <f aca="false">+Z124*$H124</f>
        <v>0</v>
      </c>
      <c r="AB124" s="109"/>
      <c r="AC124" s="109" t="n">
        <f aca="false">+AB124*$H124</f>
        <v>0</v>
      </c>
      <c r="AD124" s="109" t="n">
        <f aca="false">+R124+V124+X124+Z124+AB124</f>
        <v>0</v>
      </c>
      <c r="AE124" s="109" t="n">
        <f aca="false">+AD124*$H124</f>
        <v>0</v>
      </c>
    </row>
    <row r="125" customFormat="false" ht="16.5" hidden="false" customHeight="true" outlineLevel="0" collapsed="false">
      <c r="A125" s="102"/>
      <c r="B125" s="117" t="s">
        <v>261</v>
      </c>
      <c r="C125" s="111"/>
      <c r="D125" s="118" t="s">
        <v>262</v>
      </c>
      <c r="E125" s="113" t="s">
        <v>85</v>
      </c>
      <c r="F125" s="119" t="n">
        <v>0</v>
      </c>
      <c r="G125" s="119" t="n">
        <v>1</v>
      </c>
      <c r="H125" s="115" t="n">
        <f aca="false">IFERROR(SUM($F125:$G125),"")</f>
        <v>1</v>
      </c>
      <c r="J125" s="120" t="n">
        <v>20</v>
      </c>
      <c r="K125" s="121" t="n">
        <f aca="false">+$H125*J125</f>
        <v>20</v>
      </c>
      <c r="L125" s="122" t="n">
        <v>100</v>
      </c>
      <c r="M125" s="122" t="n">
        <v>0</v>
      </c>
      <c r="N125" s="121" t="n">
        <f aca="false">+$H125*L125</f>
        <v>100</v>
      </c>
      <c r="O125" s="121" t="n">
        <f aca="false">+$H125*M125</f>
        <v>0</v>
      </c>
      <c r="P125" s="121" t="n">
        <f aca="false">+SUM(N125:O125)</f>
        <v>100</v>
      </c>
      <c r="R125" s="109"/>
      <c r="S125" s="109" t="n">
        <f aca="false">+R125*$H125</f>
        <v>0</v>
      </c>
      <c r="T125" s="109"/>
      <c r="U125" s="109" t="n">
        <f aca="false">+T125*$H125</f>
        <v>0</v>
      </c>
      <c r="V125" s="109" t="n">
        <f aca="false">+T125*$V$11</f>
        <v>0</v>
      </c>
      <c r="W125" s="109" t="n">
        <f aca="false">+V125*$H125</f>
        <v>0</v>
      </c>
      <c r="X125" s="109"/>
      <c r="Y125" s="109" t="n">
        <f aca="false">+X125*$H125</f>
        <v>0</v>
      </c>
      <c r="Z125" s="109"/>
      <c r="AA125" s="109" t="n">
        <f aca="false">+Z125*$H125</f>
        <v>0</v>
      </c>
      <c r="AB125" s="109"/>
      <c r="AC125" s="109" t="n">
        <f aca="false">+AB125*$H125</f>
        <v>0</v>
      </c>
      <c r="AD125" s="109" t="n">
        <f aca="false">+R125+V125+X125+Z125+AB125</f>
        <v>0</v>
      </c>
      <c r="AE125" s="109" t="n">
        <f aca="false">+AD125*$H125</f>
        <v>0</v>
      </c>
    </row>
    <row r="126" customFormat="false" ht="16.5" hidden="false" customHeight="true" outlineLevel="0" collapsed="false">
      <c r="A126" s="102"/>
      <c r="B126" s="117" t="s">
        <v>263</v>
      </c>
      <c r="C126" s="111"/>
      <c r="D126" s="118" t="s">
        <v>264</v>
      </c>
      <c r="E126" s="113" t="s">
        <v>85</v>
      </c>
      <c r="F126" s="119" t="n">
        <v>0</v>
      </c>
      <c r="G126" s="119" t="n">
        <v>4</v>
      </c>
      <c r="H126" s="115" t="n">
        <f aca="false">IFERROR(SUM($F126:$G126),"")</f>
        <v>4</v>
      </c>
      <c r="J126" s="120" t="n">
        <v>3.2</v>
      </c>
      <c r="K126" s="121" t="n">
        <f aca="false">+$H126*J126</f>
        <v>12.8</v>
      </c>
      <c r="L126" s="122" t="n">
        <v>16</v>
      </c>
      <c r="M126" s="122" t="n">
        <v>0</v>
      </c>
      <c r="N126" s="121" t="n">
        <f aca="false">+$H126*L126</f>
        <v>64</v>
      </c>
      <c r="O126" s="121" t="n">
        <f aca="false">+$H126*M126</f>
        <v>0</v>
      </c>
      <c r="P126" s="121" t="n">
        <f aca="false">+SUM(N126:O126)</f>
        <v>64</v>
      </c>
      <c r="R126" s="109"/>
      <c r="S126" s="109" t="n">
        <f aca="false">+R126*$H126</f>
        <v>0</v>
      </c>
      <c r="T126" s="109"/>
      <c r="U126" s="109" t="n">
        <f aca="false">+T126*$H126</f>
        <v>0</v>
      </c>
      <c r="V126" s="109" t="n">
        <f aca="false">+T126*$V$11</f>
        <v>0</v>
      </c>
      <c r="W126" s="109" t="n">
        <f aca="false">+V126*$H126</f>
        <v>0</v>
      </c>
      <c r="X126" s="109"/>
      <c r="Y126" s="109" t="n">
        <f aca="false">+X126*$H126</f>
        <v>0</v>
      </c>
      <c r="Z126" s="109"/>
      <c r="AA126" s="109" t="n">
        <f aca="false">+Z126*$H126</f>
        <v>0</v>
      </c>
      <c r="AB126" s="109"/>
      <c r="AC126" s="109" t="n">
        <f aca="false">+AB126*$H126</f>
        <v>0</v>
      </c>
      <c r="AD126" s="109" t="n">
        <f aca="false">+R126+V126+X126+Z126+AB126</f>
        <v>0</v>
      </c>
      <c r="AE126" s="109" t="n">
        <f aca="false">+AD126*$H126</f>
        <v>0</v>
      </c>
    </row>
    <row r="127" customFormat="false" ht="16.5" hidden="true" customHeight="true" outlineLevel="0" collapsed="false">
      <c r="A127" s="102"/>
      <c r="B127" s="110" t="s">
        <v>265</v>
      </c>
      <c r="C127" s="111"/>
      <c r="D127" s="123" t="s">
        <v>266</v>
      </c>
      <c r="E127" s="113"/>
      <c r="F127" s="119" t="n">
        <v>0</v>
      </c>
      <c r="G127" s="119" t="n">
        <v>0</v>
      </c>
      <c r="H127" s="115" t="n">
        <f aca="false">IFERROR(SUM($F127:$G127),"")</f>
        <v>0</v>
      </c>
      <c r="J127" s="116"/>
      <c r="K127" s="116"/>
      <c r="L127" s="116"/>
      <c r="M127" s="116"/>
      <c r="N127" s="116"/>
      <c r="O127" s="116"/>
      <c r="P127" s="116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</row>
    <row r="128" customFormat="false" ht="16.5" hidden="true" customHeight="true" outlineLevel="0" collapsed="false">
      <c r="A128" s="102"/>
      <c r="B128" s="117" t="s">
        <v>267</v>
      </c>
      <c r="C128" s="111"/>
      <c r="D128" s="118" t="s">
        <v>268</v>
      </c>
      <c r="E128" s="113" t="s">
        <v>85</v>
      </c>
      <c r="F128" s="119" t="n">
        <v>0</v>
      </c>
      <c r="G128" s="119" t="n">
        <v>0</v>
      </c>
      <c r="H128" s="115" t="n">
        <f aca="false">IFERROR(SUM($F128:$G128),"")</f>
        <v>0</v>
      </c>
      <c r="J128" s="116"/>
      <c r="K128" s="116"/>
      <c r="L128" s="116"/>
      <c r="M128" s="116"/>
      <c r="N128" s="116"/>
      <c r="O128" s="116"/>
      <c r="P128" s="116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</row>
    <row r="129" customFormat="false" ht="16.5" hidden="true" customHeight="true" outlineLevel="0" collapsed="false">
      <c r="A129" s="102"/>
      <c r="B129" s="117" t="s">
        <v>269</v>
      </c>
      <c r="C129" s="111"/>
      <c r="D129" s="118" t="s">
        <v>270</v>
      </c>
      <c r="E129" s="113" t="s">
        <v>85</v>
      </c>
      <c r="F129" s="119" t="n">
        <v>0</v>
      </c>
      <c r="G129" s="119" t="n">
        <v>0</v>
      </c>
      <c r="H129" s="115" t="n">
        <f aca="false">IFERROR(SUM($F129:$G129),"")</f>
        <v>0</v>
      </c>
      <c r="J129" s="116"/>
      <c r="K129" s="116"/>
      <c r="L129" s="116"/>
      <c r="M129" s="116"/>
      <c r="N129" s="116"/>
      <c r="O129" s="116"/>
      <c r="P129" s="116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</row>
    <row r="130" customFormat="false" ht="16.5" hidden="true" customHeight="true" outlineLevel="0" collapsed="false">
      <c r="A130" s="102"/>
      <c r="B130" s="117" t="s">
        <v>271</v>
      </c>
      <c r="C130" s="111"/>
      <c r="D130" s="118" t="s">
        <v>272</v>
      </c>
      <c r="E130" s="113" t="s">
        <v>85</v>
      </c>
      <c r="F130" s="119" t="n">
        <v>0</v>
      </c>
      <c r="G130" s="119" t="n">
        <v>0</v>
      </c>
      <c r="H130" s="115" t="n">
        <f aca="false">IFERROR(SUM($F130:$G130),"")</f>
        <v>0</v>
      </c>
      <c r="J130" s="116"/>
      <c r="K130" s="116"/>
      <c r="L130" s="116"/>
      <c r="M130" s="116"/>
      <c r="N130" s="116"/>
      <c r="O130" s="116"/>
      <c r="P130" s="116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</row>
    <row r="131" customFormat="false" ht="16.5" hidden="true" customHeight="true" outlineLevel="0" collapsed="false">
      <c r="A131" s="102"/>
      <c r="B131" s="117" t="s">
        <v>273</v>
      </c>
      <c r="C131" s="111"/>
      <c r="D131" s="118" t="s">
        <v>274</v>
      </c>
      <c r="E131" s="113" t="s">
        <v>85</v>
      </c>
      <c r="F131" s="119" t="n">
        <v>0</v>
      </c>
      <c r="G131" s="119" t="n">
        <v>0</v>
      </c>
      <c r="H131" s="115" t="n">
        <f aca="false">IFERROR(SUM($F131:$G131),"")</f>
        <v>0</v>
      </c>
      <c r="J131" s="116"/>
      <c r="K131" s="116"/>
      <c r="L131" s="116"/>
      <c r="M131" s="116"/>
      <c r="N131" s="116"/>
      <c r="O131" s="116"/>
      <c r="P131" s="116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</row>
    <row r="132" customFormat="false" ht="16.5" hidden="true" customHeight="true" outlineLevel="0" collapsed="false">
      <c r="A132" s="102"/>
      <c r="B132" s="117" t="s">
        <v>275</v>
      </c>
      <c r="C132" s="111"/>
      <c r="D132" s="118" t="s">
        <v>276</v>
      </c>
      <c r="E132" s="113" t="s">
        <v>85</v>
      </c>
      <c r="F132" s="119" t="n">
        <v>0</v>
      </c>
      <c r="G132" s="119" t="n">
        <v>0</v>
      </c>
      <c r="H132" s="115" t="n">
        <f aca="false">IFERROR(SUM($F132:$G132),"")</f>
        <v>0</v>
      </c>
      <c r="J132" s="116"/>
      <c r="K132" s="116"/>
      <c r="L132" s="116"/>
      <c r="M132" s="116"/>
      <c r="N132" s="116"/>
      <c r="O132" s="116"/>
      <c r="P132" s="116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</row>
    <row r="133" customFormat="false" ht="16.5" hidden="true" customHeight="true" outlineLevel="0" collapsed="false">
      <c r="A133" s="102"/>
      <c r="B133" s="117" t="s">
        <v>277</v>
      </c>
      <c r="C133" s="111"/>
      <c r="D133" s="118" t="s">
        <v>278</v>
      </c>
      <c r="E133" s="113" t="s">
        <v>85</v>
      </c>
      <c r="F133" s="119" t="n">
        <v>0</v>
      </c>
      <c r="G133" s="119" t="n">
        <v>0</v>
      </c>
      <c r="H133" s="115" t="n">
        <f aca="false">IFERROR(SUM($F133:$G133),"")</f>
        <v>0</v>
      </c>
      <c r="J133" s="116"/>
      <c r="K133" s="116"/>
      <c r="L133" s="116"/>
      <c r="M133" s="116"/>
      <c r="N133" s="116"/>
      <c r="O133" s="116"/>
      <c r="P133" s="116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</row>
    <row r="134" customFormat="false" ht="16.5" hidden="true" customHeight="true" outlineLevel="0" collapsed="false">
      <c r="A134" s="102"/>
      <c r="B134" s="117" t="s">
        <v>279</v>
      </c>
      <c r="C134" s="111"/>
      <c r="D134" s="118" t="s">
        <v>280</v>
      </c>
      <c r="E134" s="113" t="s">
        <v>85</v>
      </c>
      <c r="F134" s="119" t="n">
        <v>0</v>
      </c>
      <c r="G134" s="119" t="n">
        <v>0</v>
      </c>
      <c r="H134" s="115" t="n">
        <f aca="false">IFERROR(SUM($F134:$G134),"")</f>
        <v>0</v>
      </c>
      <c r="J134" s="116"/>
      <c r="K134" s="116"/>
      <c r="L134" s="116"/>
      <c r="M134" s="116"/>
      <c r="N134" s="116"/>
      <c r="O134" s="116"/>
      <c r="P134" s="116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</row>
    <row r="135" customFormat="false" ht="16.5" hidden="false" customHeight="true" outlineLevel="0" collapsed="false">
      <c r="A135" s="102"/>
      <c r="B135" s="110" t="s">
        <v>281</v>
      </c>
      <c r="C135" s="111"/>
      <c r="D135" s="123" t="s">
        <v>282</v>
      </c>
      <c r="E135" s="113"/>
      <c r="F135" s="119" t="n">
        <v>0</v>
      </c>
      <c r="G135" s="119" t="n">
        <v>0</v>
      </c>
      <c r="H135" s="115" t="n">
        <f aca="false">IFERROR(SUM($F135:$G135),"")</f>
        <v>0</v>
      </c>
      <c r="J135" s="116"/>
      <c r="K135" s="116"/>
      <c r="L135" s="116"/>
      <c r="M135" s="116"/>
      <c r="N135" s="116"/>
      <c r="O135" s="116"/>
      <c r="P135" s="116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</row>
    <row r="136" customFormat="false" ht="16.5" hidden="true" customHeight="true" outlineLevel="0" collapsed="false">
      <c r="A136" s="102"/>
      <c r="B136" s="117" t="s">
        <v>283</v>
      </c>
      <c r="C136" s="111"/>
      <c r="D136" s="118" t="s">
        <v>284</v>
      </c>
      <c r="E136" s="113" t="s">
        <v>75</v>
      </c>
      <c r="F136" s="119" t="n">
        <v>0</v>
      </c>
      <c r="G136" s="119" t="n">
        <v>0</v>
      </c>
      <c r="H136" s="115" t="n">
        <f aca="false">IFERROR(SUM($F136:$G136),"")</f>
        <v>0</v>
      </c>
      <c r="J136" s="116"/>
      <c r="K136" s="116"/>
      <c r="L136" s="116"/>
      <c r="M136" s="116"/>
      <c r="N136" s="116"/>
      <c r="O136" s="116"/>
      <c r="P136" s="116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</row>
    <row r="137" customFormat="false" ht="16.5" hidden="true" customHeight="true" outlineLevel="0" collapsed="false">
      <c r="A137" s="102"/>
      <c r="B137" s="117" t="s">
        <v>285</v>
      </c>
      <c r="C137" s="111"/>
      <c r="D137" s="118" t="s">
        <v>286</v>
      </c>
      <c r="E137" s="113" t="s">
        <v>75</v>
      </c>
      <c r="F137" s="119" t="n">
        <v>0</v>
      </c>
      <c r="G137" s="119" t="n">
        <v>0</v>
      </c>
      <c r="H137" s="115" t="n">
        <f aca="false">IFERROR(SUM($F137:$G137),"")</f>
        <v>0</v>
      </c>
      <c r="J137" s="116"/>
      <c r="K137" s="116"/>
      <c r="L137" s="116"/>
      <c r="M137" s="116"/>
      <c r="N137" s="116"/>
      <c r="O137" s="116"/>
      <c r="P137" s="116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</row>
    <row r="138" customFormat="false" ht="16.5" hidden="true" customHeight="true" outlineLevel="0" collapsed="false">
      <c r="A138" s="102"/>
      <c r="B138" s="117" t="s">
        <v>287</v>
      </c>
      <c r="C138" s="111"/>
      <c r="D138" s="118" t="s">
        <v>288</v>
      </c>
      <c r="E138" s="113" t="s">
        <v>75</v>
      </c>
      <c r="F138" s="119" t="n">
        <v>0</v>
      </c>
      <c r="G138" s="119" t="n">
        <v>0</v>
      </c>
      <c r="H138" s="115" t="n">
        <f aca="false">IFERROR(SUM($F138:$G138),"")</f>
        <v>0</v>
      </c>
      <c r="J138" s="116"/>
      <c r="K138" s="116"/>
      <c r="L138" s="116"/>
      <c r="M138" s="116"/>
      <c r="N138" s="116"/>
      <c r="O138" s="116"/>
      <c r="P138" s="116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</row>
    <row r="139" customFormat="false" ht="16.5" hidden="false" customHeight="true" outlineLevel="0" collapsed="false">
      <c r="A139" s="102"/>
      <c r="B139" s="117" t="s">
        <v>289</v>
      </c>
      <c r="C139" s="111"/>
      <c r="D139" s="118" t="s">
        <v>290</v>
      </c>
      <c r="E139" s="113" t="s">
        <v>75</v>
      </c>
      <c r="F139" s="119" t="n">
        <v>0</v>
      </c>
      <c r="G139" s="119" t="n">
        <v>499</v>
      </c>
      <c r="H139" s="115" t="n">
        <f aca="false">IFERROR(SUM($F139:$G139),"")</f>
        <v>499</v>
      </c>
      <c r="J139" s="120" t="n">
        <v>1.45</v>
      </c>
      <c r="K139" s="121" t="n">
        <f aca="false">+$H139*J139</f>
        <v>723.55</v>
      </c>
      <c r="L139" s="122" t="n">
        <v>7.25</v>
      </c>
      <c r="M139" s="122" t="n">
        <v>30</v>
      </c>
      <c r="N139" s="121" t="n">
        <f aca="false">+$H139*L139</f>
        <v>3617.75</v>
      </c>
      <c r="O139" s="121" t="n">
        <f aca="false">+$H139*M139</f>
        <v>14970</v>
      </c>
      <c r="P139" s="121" t="n">
        <f aca="false">+SUM(N139:O139)</f>
        <v>18587.75</v>
      </c>
      <c r="R139" s="109"/>
      <c r="S139" s="109" t="n">
        <f aca="false">+R139*$H139</f>
        <v>0</v>
      </c>
      <c r="T139" s="109" t="n">
        <v>11.94</v>
      </c>
      <c r="U139" s="109" t="n">
        <f aca="false">+T139*$H139</f>
        <v>5958.06</v>
      </c>
      <c r="V139" s="109" t="n">
        <v>71.64</v>
      </c>
      <c r="W139" s="109" t="n">
        <f aca="false">+V139*$H139</f>
        <v>35748.36</v>
      </c>
      <c r="X139" s="109" t="n">
        <v>5.97</v>
      </c>
      <c r="Y139" s="109" t="n">
        <f aca="false">+X139*$H139</f>
        <v>2979.03</v>
      </c>
      <c r="Z139" s="109" t="n">
        <v>9.95</v>
      </c>
      <c r="AA139" s="109" t="n">
        <f aca="false">+Z139*$H139</f>
        <v>4965.05</v>
      </c>
      <c r="AB139" s="109"/>
      <c r="AC139" s="109" t="n">
        <f aca="false">+AB139*$H139</f>
        <v>0</v>
      </c>
      <c r="AD139" s="109" t="n">
        <f aca="false">+R139+V139+X139+Z139+AB139</f>
        <v>87.56</v>
      </c>
      <c r="AE139" s="109" t="n">
        <f aca="false">+AD139*$H139</f>
        <v>43692.44</v>
      </c>
    </row>
    <row r="140" customFormat="false" ht="16.5" hidden="true" customHeight="true" outlineLevel="0" collapsed="false">
      <c r="A140" s="102"/>
      <c r="B140" s="117" t="s">
        <v>291</v>
      </c>
      <c r="C140" s="111"/>
      <c r="D140" s="118" t="s">
        <v>292</v>
      </c>
      <c r="E140" s="113" t="s">
        <v>75</v>
      </c>
      <c r="F140" s="119" t="n">
        <v>0</v>
      </c>
      <c r="G140" s="119" t="n">
        <v>0</v>
      </c>
      <c r="H140" s="115" t="n">
        <f aca="false">IFERROR(SUM($F140:$G140),"")</f>
        <v>0</v>
      </c>
      <c r="J140" s="116"/>
      <c r="K140" s="116"/>
      <c r="L140" s="116"/>
      <c r="M140" s="116"/>
      <c r="N140" s="116"/>
      <c r="O140" s="116"/>
      <c r="P140" s="116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</row>
    <row r="141" customFormat="false" ht="16.5" hidden="true" customHeight="true" outlineLevel="0" collapsed="false">
      <c r="A141" s="102"/>
      <c r="B141" s="117" t="s">
        <v>293</v>
      </c>
      <c r="C141" s="111"/>
      <c r="D141" s="118" t="s">
        <v>294</v>
      </c>
      <c r="E141" s="113" t="s">
        <v>75</v>
      </c>
      <c r="F141" s="119" t="n">
        <v>0</v>
      </c>
      <c r="G141" s="119" t="n">
        <v>0</v>
      </c>
      <c r="H141" s="115" t="n">
        <f aca="false">IFERROR(SUM($F141:$G141),"")</f>
        <v>0</v>
      </c>
      <c r="J141" s="116"/>
      <c r="K141" s="116"/>
      <c r="L141" s="116"/>
      <c r="M141" s="116"/>
      <c r="N141" s="116"/>
      <c r="O141" s="116"/>
      <c r="P141" s="116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</row>
    <row r="142" customFormat="false" ht="16.5" hidden="true" customHeight="true" outlineLevel="0" collapsed="false">
      <c r="A142" s="102"/>
      <c r="B142" s="117" t="s">
        <v>295</v>
      </c>
      <c r="C142" s="111"/>
      <c r="D142" s="118" t="s">
        <v>296</v>
      </c>
      <c r="E142" s="113" t="s">
        <v>75</v>
      </c>
      <c r="F142" s="119" t="n">
        <v>0</v>
      </c>
      <c r="G142" s="119" t="n">
        <v>0</v>
      </c>
      <c r="H142" s="115" t="n">
        <f aca="false">IFERROR(SUM($F142:$G142),"")</f>
        <v>0</v>
      </c>
      <c r="J142" s="116"/>
      <c r="K142" s="116"/>
      <c r="L142" s="116"/>
      <c r="M142" s="116"/>
      <c r="N142" s="116"/>
      <c r="O142" s="116"/>
      <c r="P142" s="116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</row>
    <row r="143" customFormat="false" ht="16.5" hidden="true" customHeight="true" outlineLevel="0" collapsed="false">
      <c r="A143" s="102"/>
      <c r="B143" s="117" t="s">
        <v>297</v>
      </c>
      <c r="C143" s="111"/>
      <c r="D143" s="118" t="s">
        <v>298</v>
      </c>
      <c r="E143" s="113" t="s">
        <v>75</v>
      </c>
      <c r="F143" s="119" t="n">
        <v>0</v>
      </c>
      <c r="G143" s="119" t="n">
        <v>0</v>
      </c>
      <c r="H143" s="115" t="n">
        <f aca="false">IFERROR(SUM($F143:$G143),"")</f>
        <v>0</v>
      </c>
      <c r="J143" s="116"/>
      <c r="K143" s="116"/>
      <c r="L143" s="116"/>
      <c r="M143" s="116"/>
      <c r="N143" s="116"/>
      <c r="O143" s="116"/>
      <c r="P143" s="116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</row>
    <row r="144" customFormat="false" ht="16.5" hidden="true" customHeight="true" outlineLevel="0" collapsed="false">
      <c r="A144" s="102"/>
      <c r="B144" s="117" t="s">
        <v>299</v>
      </c>
      <c r="C144" s="111"/>
      <c r="D144" s="118" t="s">
        <v>300</v>
      </c>
      <c r="E144" s="113" t="s">
        <v>75</v>
      </c>
      <c r="F144" s="119" t="n">
        <v>0</v>
      </c>
      <c r="G144" s="119" t="n">
        <v>0</v>
      </c>
      <c r="H144" s="115" t="n">
        <f aca="false">IFERROR(SUM($F144:$G144),"")</f>
        <v>0</v>
      </c>
      <c r="J144" s="116"/>
      <c r="K144" s="116"/>
      <c r="L144" s="116"/>
      <c r="M144" s="116"/>
      <c r="N144" s="116"/>
      <c r="O144" s="116"/>
      <c r="P144" s="116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</row>
    <row r="145" customFormat="false" ht="16.5" hidden="true" customHeight="true" outlineLevel="0" collapsed="false">
      <c r="A145" s="102"/>
      <c r="B145" s="117" t="s">
        <v>301</v>
      </c>
      <c r="C145" s="111"/>
      <c r="D145" s="118" t="s">
        <v>302</v>
      </c>
      <c r="E145" s="113" t="s">
        <v>75</v>
      </c>
      <c r="F145" s="119" t="n">
        <v>0</v>
      </c>
      <c r="G145" s="119" t="n">
        <v>0</v>
      </c>
      <c r="H145" s="115" t="n">
        <f aca="false">IFERROR(SUM($F145:$G145),"")</f>
        <v>0</v>
      </c>
      <c r="J145" s="116"/>
      <c r="K145" s="116"/>
      <c r="L145" s="116"/>
      <c r="M145" s="116"/>
      <c r="N145" s="116"/>
      <c r="O145" s="116"/>
      <c r="P145" s="116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</row>
    <row r="146" customFormat="false" ht="16.5" hidden="true" customHeight="true" outlineLevel="0" collapsed="false">
      <c r="A146" s="102"/>
      <c r="B146" s="110" t="s">
        <v>303</v>
      </c>
      <c r="C146" s="111"/>
      <c r="D146" s="123" t="s">
        <v>304</v>
      </c>
      <c r="E146" s="113"/>
      <c r="F146" s="119" t="n">
        <v>0</v>
      </c>
      <c r="G146" s="119" t="n">
        <v>0</v>
      </c>
      <c r="H146" s="115" t="n">
        <f aca="false">IFERROR(SUM($F146:$G146),"")</f>
        <v>0</v>
      </c>
      <c r="J146" s="116"/>
      <c r="K146" s="116"/>
      <c r="L146" s="116"/>
      <c r="M146" s="116"/>
      <c r="N146" s="116"/>
      <c r="O146" s="116"/>
      <c r="P146" s="116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</row>
    <row r="147" customFormat="false" ht="16.5" hidden="true" customHeight="true" outlineLevel="0" collapsed="false">
      <c r="A147" s="102"/>
      <c r="B147" s="117" t="s">
        <v>305</v>
      </c>
      <c r="C147" s="111"/>
      <c r="D147" s="118" t="s">
        <v>306</v>
      </c>
      <c r="E147" s="113" t="s">
        <v>85</v>
      </c>
      <c r="F147" s="119" t="n">
        <v>0</v>
      </c>
      <c r="G147" s="119" t="n">
        <v>0</v>
      </c>
      <c r="H147" s="115" t="n">
        <f aca="false">IFERROR(SUM($F147:$G147),"")</f>
        <v>0</v>
      </c>
      <c r="J147" s="116"/>
      <c r="K147" s="116"/>
      <c r="L147" s="116"/>
      <c r="M147" s="116"/>
      <c r="N147" s="116"/>
      <c r="O147" s="116"/>
      <c r="P147" s="116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</row>
    <row r="148" customFormat="false" ht="16.5" hidden="true" customHeight="true" outlineLevel="0" collapsed="false">
      <c r="A148" s="102"/>
      <c r="B148" s="117" t="s">
        <v>307</v>
      </c>
      <c r="C148" s="111"/>
      <c r="D148" s="118" t="s">
        <v>308</v>
      </c>
      <c r="E148" s="113" t="s">
        <v>85</v>
      </c>
      <c r="F148" s="119" t="n">
        <v>0</v>
      </c>
      <c r="G148" s="119" t="n">
        <v>0</v>
      </c>
      <c r="H148" s="115" t="n">
        <f aca="false">IFERROR(SUM($F148:$G148),"")</f>
        <v>0</v>
      </c>
      <c r="J148" s="116"/>
      <c r="K148" s="116"/>
      <c r="L148" s="116"/>
      <c r="M148" s="116"/>
      <c r="N148" s="116"/>
      <c r="O148" s="116"/>
      <c r="P148" s="116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</row>
    <row r="149" customFormat="false" ht="16.5" hidden="true" customHeight="true" outlineLevel="0" collapsed="false">
      <c r="A149" s="102"/>
      <c r="B149" s="117" t="s">
        <v>309</v>
      </c>
      <c r="C149" s="111"/>
      <c r="D149" s="118" t="s">
        <v>310</v>
      </c>
      <c r="E149" s="113" t="s">
        <v>85</v>
      </c>
      <c r="F149" s="119" t="n">
        <v>0</v>
      </c>
      <c r="G149" s="119" t="n">
        <v>0</v>
      </c>
      <c r="H149" s="115" t="n">
        <f aca="false">IFERROR(SUM($F149:$G149),"")</f>
        <v>0</v>
      </c>
      <c r="J149" s="116"/>
      <c r="K149" s="116"/>
      <c r="L149" s="116"/>
      <c r="M149" s="116"/>
      <c r="N149" s="116"/>
      <c r="O149" s="116"/>
      <c r="P149" s="116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</row>
    <row r="150" customFormat="false" ht="16.5" hidden="true" customHeight="true" outlineLevel="0" collapsed="false">
      <c r="A150" s="102"/>
      <c r="B150" s="117" t="s">
        <v>311</v>
      </c>
      <c r="C150" s="111"/>
      <c r="D150" s="118" t="s">
        <v>312</v>
      </c>
      <c r="E150" s="113" t="s">
        <v>85</v>
      </c>
      <c r="F150" s="119" t="n">
        <v>0</v>
      </c>
      <c r="G150" s="119" t="n">
        <v>0</v>
      </c>
      <c r="H150" s="115" t="n">
        <f aca="false">IFERROR(SUM($F150:$G150),"")</f>
        <v>0</v>
      </c>
      <c r="J150" s="116"/>
      <c r="K150" s="116"/>
      <c r="L150" s="116"/>
      <c r="M150" s="116"/>
      <c r="N150" s="116"/>
      <c r="O150" s="116"/>
      <c r="P150" s="116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</row>
    <row r="151" customFormat="false" ht="16.5" hidden="true" customHeight="true" outlineLevel="0" collapsed="false">
      <c r="A151" s="102"/>
      <c r="B151" s="117" t="s">
        <v>313</v>
      </c>
      <c r="C151" s="111"/>
      <c r="D151" s="118" t="s">
        <v>314</v>
      </c>
      <c r="E151" s="113" t="s">
        <v>85</v>
      </c>
      <c r="F151" s="119" t="n">
        <v>0</v>
      </c>
      <c r="G151" s="119" t="n">
        <v>0</v>
      </c>
      <c r="H151" s="115" t="n">
        <f aca="false">IFERROR(SUM($F151:$G151),"")</f>
        <v>0</v>
      </c>
      <c r="J151" s="116"/>
      <c r="K151" s="116"/>
      <c r="L151" s="116"/>
      <c r="M151" s="116"/>
      <c r="N151" s="116"/>
      <c r="O151" s="116"/>
      <c r="P151" s="116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</row>
    <row r="152" customFormat="false" ht="16.5" hidden="true" customHeight="true" outlineLevel="0" collapsed="false">
      <c r="A152" s="102"/>
      <c r="B152" s="117" t="s">
        <v>315</v>
      </c>
      <c r="C152" s="111"/>
      <c r="D152" s="118" t="s">
        <v>316</v>
      </c>
      <c r="E152" s="113" t="s">
        <v>85</v>
      </c>
      <c r="F152" s="119" t="n">
        <v>0</v>
      </c>
      <c r="G152" s="119" t="n">
        <v>0</v>
      </c>
      <c r="H152" s="115" t="n">
        <f aca="false">IFERROR(SUM($F152:$G152),"")</f>
        <v>0</v>
      </c>
      <c r="J152" s="116"/>
      <c r="K152" s="116"/>
      <c r="L152" s="116"/>
      <c r="M152" s="116"/>
      <c r="N152" s="116"/>
      <c r="O152" s="116"/>
      <c r="P152" s="116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</row>
    <row r="153" customFormat="false" ht="16.5" hidden="true" customHeight="true" outlineLevel="0" collapsed="false">
      <c r="A153" s="102"/>
      <c r="B153" s="117" t="s">
        <v>317</v>
      </c>
      <c r="C153" s="111"/>
      <c r="D153" s="118" t="s">
        <v>318</v>
      </c>
      <c r="E153" s="113" t="s">
        <v>85</v>
      </c>
      <c r="F153" s="119" t="n">
        <v>0</v>
      </c>
      <c r="G153" s="119" t="n">
        <v>0</v>
      </c>
      <c r="H153" s="115" t="n">
        <f aca="false">IFERROR(SUM($F153:$G153),"")</f>
        <v>0</v>
      </c>
      <c r="J153" s="116"/>
      <c r="K153" s="116"/>
      <c r="L153" s="116"/>
      <c r="M153" s="116"/>
      <c r="N153" s="116"/>
      <c r="O153" s="116"/>
      <c r="P153" s="116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</row>
    <row r="154" customFormat="false" ht="16.5" hidden="true" customHeight="true" outlineLevel="0" collapsed="false">
      <c r="A154" s="102"/>
      <c r="B154" s="117" t="s">
        <v>319</v>
      </c>
      <c r="C154" s="111"/>
      <c r="D154" s="118" t="s">
        <v>320</v>
      </c>
      <c r="E154" s="113" t="s">
        <v>85</v>
      </c>
      <c r="F154" s="119" t="n">
        <v>0</v>
      </c>
      <c r="G154" s="119" t="n">
        <v>0</v>
      </c>
      <c r="H154" s="115" t="n">
        <f aca="false">IFERROR(SUM($F154:$G154),"")</f>
        <v>0</v>
      </c>
      <c r="J154" s="116"/>
      <c r="K154" s="116"/>
      <c r="L154" s="116"/>
      <c r="M154" s="116"/>
      <c r="N154" s="116"/>
      <c r="O154" s="116"/>
      <c r="P154" s="116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</row>
    <row r="155" customFormat="false" ht="16.5" hidden="true" customHeight="true" outlineLevel="0" collapsed="false">
      <c r="A155" s="102"/>
      <c r="B155" s="117" t="s">
        <v>321</v>
      </c>
      <c r="C155" s="111"/>
      <c r="D155" s="118" t="s">
        <v>322</v>
      </c>
      <c r="E155" s="113" t="s">
        <v>85</v>
      </c>
      <c r="F155" s="119" t="n">
        <v>0</v>
      </c>
      <c r="G155" s="119" t="n">
        <v>0</v>
      </c>
      <c r="H155" s="115" t="n">
        <f aca="false">IFERROR(SUM($F155:$G155),"")</f>
        <v>0</v>
      </c>
      <c r="J155" s="116"/>
      <c r="K155" s="116"/>
      <c r="L155" s="116"/>
      <c r="M155" s="116"/>
      <c r="N155" s="116"/>
      <c r="O155" s="116"/>
      <c r="P155" s="116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</row>
    <row r="156" customFormat="false" ht="16.5" hidden="true" customHeight="true" outlineLevel="0" collapsed="false">
      <c r="A156" s="102"/>
      <c r="B156" s="117" t="s">
        <v>323</v>
      </c>
      <c r="C156" s="111"/>
      <c r="D156" s="118" t="s">
        <v>324</v>
      </c>
      <c r="E156" s="113" t="s">
        <v>85</v>
      </c>
      <c r="F156" s="119" t="n">
        <v>0</v>
      </c>
      <c r="G156" s="119" t="n">
        <v>0</v>
      </c>
      <c r="H156" s="115" t="n">
        <f aca="false">IFERROR(SUM($F156:$G156),"")</f>
        <v>0</v>
      </c>
      <c r="J156" s="116"/>
      <c r="K156" s="116"/>
      <c r="L156" s="116"/>
      <c r="M156" s="116"/>
      <c r="N156" s="116"/>
      <c r="O156" s="116"/>
      <c r="P156" s="116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</row>
    <row r="157" customFormat="false" ht="13.5" hidden="false" customHeight="true" outlineLevel="0" collapsed="false">
      <c r="A157" s="71"/>
      <c r="B157" s="110" t="s">
        <v>325</v>
      </c>
      <c r="C157" s="111"/>
      <c r="D157" s="123" t="s">
        <v>326</v>
      </c>
      <c r="E157" s="113"/>
      <c r="F157" s="119" t="n">
        <v>0</v>
      </c>
      <c r="G157" s="119" t="n">
        <v>0</v>
      </c>
      <c r="H157" s="115" t="n">
        <f aca="false">IFERROR(SUM($F157:$G157),"")</f>
        <v>0</v>
      </c>
      <c r="J157" s="116"/>
      <c r="K157" s="116"/>
      <c r="L157" s="116"/>
      <c r="M157" s="116"/>
      <c r="N157" s="116"/>
      <c r="O157" s="116"/>
      <c r="P157" s="116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</row>
    <row r="158" customFormat="false" ht="16.5" hidden="true" customHeight="true" outlineLevel="0" collapsed="false">
      <c r="A158" s="71"/>
      <c r="B158" s="117" t="s">
        <v>327</v>
      </c>
      <c r="C158" s="111"/>
      <c r="D158" s="118" t="s">
        <v>328</v>
      </c>
      <c r="E158" s="113" t="s">
        <v>75</v>
      </c>
      <c r="F158" s="119" t="n">
        <v>0</v>
      </c>
      <c r="G158" s="119" t="n">
        <v>0</v>
      </c>
      <c r="H158" s="115" t="n">
        <f aca="false">IFERROR(SUM($F158:$G158),"")</f>
        <v>0</v>
      </c>
      <c r="J158" s="116"/>
      <c r="K158" s="116"/>
      <c r="L158" s="116"/>
      <c r="M158" s="116"/>
      <c r="N158" s="116"/>
      <c r="O158" s="116"/>
      <c r="P158" s="116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</row>
    <row r="159" customFormat="false" ht="16.5" hidden="true" customHeight="true" outlineLevel="0" collapsed="false">
      <c r="A159" s="71"/>
      <c r="B159" s="117" t="s">
        <v>329</v>
      </c>
      <c r="C159" s="111"/>
      <c r="D159" s="118" t="s">
        <v>330</v>
      </c>
      <c r="E159" s="113" t="s">
        <v>75</v>
      </c>
      <c r="F159" s="119" t="n">
        <v>0</v>
      </c>
      <c r="G159" s="119" t="n">
        <v>0</v>
      </c>
      <c r="H159" s="115" t="n">
        <f aca="false">IFERROR(SUM($F159:$G159),"")</f>
        <v>0</v>
      </c>
      <c r="J159" s="116"/>
      <c r="K159" s="116"/>
      <c r="L159" s="116"/>
      <c r="M159" s="116"/>
      <c r="N159" s="116"/>
      <c r="O159" s="116"/>
      <c r="P159" s="116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</row>
    <row r="160" customFormat="false" ht="16.5" hidden="true" customHeight="true" outlineLevel="0" collapsed="false">
      <c r="A160" s="71"/>
      <c r="B160" s="117" t="s">
        <v>331</v>
      </c>
      <c r="C160" s="111"/>
      <c r="D160" s="118" t="s">
        <v>332</v>
      </c>
      <c r="E160" s="113" t="s">
        <v>75</v>
      </c>
      <c r="F160" s="119" t="n">
        <v>0</v>
      </c>
      <c r="G160" s="119" t="n">
        <v>0</v>
      </c>
      <c r="H160" s="115" t="n">
        <f aca="false">IFERROR(SUM($F160:$G160),"")</f>
        <v>0</v>
      </c>
      <c r="J160" s="116"/>
      <c r="K160" s="116"/>
      <c r="L160" s="116"/>
      <c r="M160" s="116"/>
      <c r="N160" s="116"/>
      <c r="O160" s="116"/>
      <c r="P160" s="116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</row>
    <row r="161" customFormat="false" ht="16.5" hidden="true" customHeight="true" outlineLevel="0" collapsed="false">
      <c r="A161" s="71"/>
      <c r="B161" s="117" t="s">
        <v>333</v>
      </c>
      <c r="C161" s="111"/>
      <c r="D161" s="118" t="s">
        <v>334</v>
      </c>
      <c r="E161" s="113" t="s">
        <v>75</v>
      </c>
      <c r="F161" s="119" t="n">
        <v>0</v>
      </c>
      <c r="G161" s="119" t="n">
        <v>0</v>
      </c>
      <c r="H161" s="115" t="n">
        <f aca="false">IFERROR(SUM($F161:$G161),"")</f>
        <v>0</v>
      </c>
      <c r="J161" s="116"/>
      <c r="K161" s="116"/>
      <c r="L161" s="116"/>
      <c r="M161" s="116"/>
      <c r="N161" s="116"/>
      <c r="O161" s="116"/>
      <c r="P161" s="116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</row>
    <row r="162" customFormat="false" ht="16.5" hidden="true" customHeight="true" outlineLevel="0" collapsed="false">
      <c r="A162" s="71"/>
      <c r="B162" s="117" t="s">
        <v>335</v>
      </c>
      <c r="C162" s="111"/>
      <c r="D162" s="118" t="s">
        <v>336</v>
      </c>
      <c r="E162" s="113" t="s">
        <v>75</v>
      </c>
      <c r="F162" s="119" t="n">
        <v>0</v>
      </c>
      <c r="G162" s="119" t="n">
        <v>0</v>
      </c>
      <c r="H162" s="115" t="n">
        <f aca="false">IFERROR(SUM($F162:$G162),"")</f>
        <v>0</v>
      </c>
      <c r="J162" s="116"/>
      <c r="K162" s="116"/>
      <c r="L162" s="116"/>
      <c r="M162" s="116"/>
      <c r="N162" s="116"/>
      <c r="O162" s="116"/>
      <c r="P162" s="116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</row>
    <row r="163" customFormat="false" ht="16.5" hidden="false" customHeight="true" outlineLevel="0" collapsed="false">
      <c r="A163" s="71"/>
      <c r="B163" s="117" t="s">
        <v>337</v>
      </c>
      <c r="C163" s="111"/>
      <c r="D163" s="118" t="s">
        <v>338</v>
      </c>
      <c r="E163" s="113" t="s">
        <v>75</v>
      </c>
      <c r="F163" s="119" t="n">
        <v>0</v>
      </c>
      <c r="G163" s="119" t="n">
        <v>217</v>
      </c>
      <c r="H163" s="115" t="n">
        <f aca="false">IFERROR(SUM($F163:$G163),"")</f>
        <v>217</v>
      </c>
      <c r="J163" s="120" t="n">
        <v>0.28</v>
      </c>
      <c r="K163" s="121" t="n">
        <f aca="false">+$H163*J163</f>
        <v>60.76</v>
      </c>
      <c r="L163" s="122" t="n">
        <v>1.4</v>
      </c>
      <c r="M163" s="122" t="n">
        <v>28</v>
      </c>
      <c r="N163" s="121" t="n">
        <f aca="false">+$H163*L163</f>
        <v>303.8</v>
      </c>
      <c r="O163" s="121" t="n">
        <f aca="false">+$H163*M163</f>
        <v>6076</v>
      </c>
      <c r="P163" s="121" t="n">
        <f aca="false">+SUM(N163:O163)</f>
        <v>6379.8</v>
      </c>
      <c r="R163" s="109"/>
      <c r="S163" s="109" t="n">
        <f aca="false">+R163*$H163</f>
        <v>0</v>
      </c>
      <c r="T163" s="109"/>
      <c r="U163" s="109" t="n">
        <f aca="false">+T163*$H163</f>
        <v>0</v>
      </c>
      <c r="V163" s="109" t="n">
        <f aca="false">+T163*$V$11</f>
        <v>0</v>
      </c>
      <c r="W163" s="109" t="n">
        <f aca="false">+V163*$H163</f>
        <v>0</v>
      </c>
      <c r="X163" s="109"/>
      <c r="Y163" s="109" t="n">
        <f aca="false">+X163*$H163</f>
        <v>0</v>
      </c>
      <c r="Z163" s="109"/>
      <c r="AA163" s="109" t="n">
        <f aca="false">+Z163*$H163</f>
        <v>0</v>
      </c>
      <c r="AB163" s="109"/>
      <c r="AC163" s="109" t="n">
        <f aca="false">+AB163*$H163</f>
        <v>0</v>
      </c>
      <c r="AD163" s="109" t="n">
        <f aca="false">+R163+V163+X163+Z163+AB163</f>
        <v>0</v>
      </c>
      <c r="AE163" s="109" t="n">
        <f aca="false">+AD163*$H163</f>
        <v>0</v>
      </c>
    </row>
    <row r="164" customFormat="false" ht="16.5" hidden="true" customHeight="true" outlineLevel="0" collapsed="false">
      <c r="A164" s="71"/>
      <c r="B164" s="117" t="s">
        <v>339</v>
      </c>
      <c r="C164" s="111"/>
      <c r="D164" s="118" t="s">
        <v>340</v>
      </c>
      <c r="E164" s="113" t="s">
        <v>75</v>
      </c>
      <c r="F164" s="119" t="n">
        <v>0</v>
      </c>
      <c r="G164" s="119" t="n">
        <v>0</v>
      </c>
      <c r="H164" s="115" t="n">
        <f aca="false">IFERROR(SUM($F164:$G164),"")</f>
        <v>0</v>
      </c>
      <c r="J164" s="116"/>
      <c r="K164" s="116"/>
      <c r="L164" s="116"/>
      <c r="M164" s="116"/>
      <c r="N164" s="116"/>
      <c r="O164" s="116"/>
      <c r="P164" s="116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</row>
    <row r="165" customFormat="false" ht="16.5" hidden="false" customHeight="true" outlineLevel="0" collapsed="false">
      <c r="A165" s="71"/>
      <c r="B165" s="117" t="s">
        <v>341</v>
      </c>
      <c r="C165" s="111"/>
      <c r="D165" s="118" t="s">
        <v>342</v>
      </c>
      <c r="E165" s="113" t="s">
        <v>75</v>
      </c>
      <c r="F165" s="119" t="n">
        <v>0</v>
      </c>
      <c r="G165" s="119" t="n">
        <v>977</v>
      </c>
      <c r="H165" s="115" t="n">
        <f aca="false">IFERROR(SUM($F165:$G165),"")</f>
        <v>977</v>
      </c>
      <c r="J165" s="120" t="n">
        <v>0.2</v>
      </c>
      <c r="K165" s="121" t="n">
        <f aca="false">+$H165*J165</f>
        <v>195.4</v>
      </c>
      <c r="L165" s="122" t="n">
        <v>1</v>
      </c>
      <c r="M165" s="122" t="n">
        <v>20</v>
      </c>
      <c r="N165" s="121" t="n">
        <f aca="false">+$H165*L165</f>
        <v>977</v>
      </c>
      <c r="O165" s="121" t="n">
        <f aca="false">+$H165*M165</f>
        <v>19540</v>
      </c>
      <c r="P165" s="121" t="n">
        <f aca="false">+SUM(N165:O165)</f>
        <v>20517</v>
      </c>
      <c r="R165" s="109"/>
      <c r="S165" s="109" t="n">
        <f aca="false">+R165*$H165</f>
        <v>0</v>
      </c>
      <c r="T165" s="109"/>
      <c r="U165" s="109" t="n">
        <f aca="false">+T165*$H165</f>
        <v>0</v>
      </c>
      <c r="V165" s="109" t="n">
        <f aca="false">+T165*$V$11</f>
        <v>0</v>
      </c>
      <c r="W165" s="109" t="n">
        <f aca="false">+V165*$H165</f>
        <v>0</v>
      </c>
      <c r="X165" s="109"/>
      <c r="Y165" s="109" t="n">
        <f aca="false">+X165*$H165</f>
        <v>0</v>
      </c>
      <c r="Z165" s="109"/>
      <c r="AA165" s="109" t="n">
        <f aca="false">+Z165*$H165</f>
        <v>0</v>
      </c>
      <c r="AB165" s="109"/>
      <c r="AC165" s="109" t="n">
        <f aca="false">+AB165*$H165</f>
        <v>0</v>
      </c>
      <c r="AD165" s="109" t="n">
        <f aca="false">+R165+V165+X165+Z165+AB165</f>
        <v>0</v>
      </c>
      <c r="AE165" s="109" t="n">
        <f aca="false">+AD165*$H165</f>
        <v>0</v>
      </c>
    </row>
    <row r="166" customFormat="false" ht="16.5" hidden="true" customHeight="true" outlineLevel="0" collapsed="false">
      <c r="A166" s="71"/>
      <c r="B166" s="117" t="s">
        <v>343</v>
      </c>
      <c r="C166" s="111"/>
      <c r="D166" s="118" t="s">
        <v>344</v>
      </c>
      <c r="E166" s="113" t="s">
        <v>75</v>
      </c>
      <c r="F166" s="119" t="n">
        <v>0</v>
      </c>
      <c r="G166" s="119" t="n">
        <v>0</v>
      </c>
      <c r="H166" s="115" t="n">
        <f aca="false">IFERROR(SUM($F166:$G166),"")</f>
        <v>0</v>
      </c>
      <c r="J166" s="116"/>
      <c r="K166" s="116"/>
      <c r="L166" s="116"/>
      <c r="M166" s="116"/>
      <c r="N166" s="116"/>
      <c r="O166" s="116"/>
      <c r="P166" s="116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</row>
    <row r="167" customFormat="false" ht="16.5" hidden="true" customHeight="true" outlineLevel="0" collapsed="false">
      <c r="A167" s="71"/>
      <c r="B167" s="117" t="s">
        <v>345</v>
      </c>
      <c r="C167" s="111"/>
      <c r="D167" s="118" t="s">
        <v>346</v>
      </c>
      <c r="E167" s="113" t="s">
        <v>75</v>
      </c>
      <c r="F167" s="119" t="n">
        <v>0</v>
      </c>
      <c r="G167" s="119" t="n">
        <v>0</v>
      </c>
      <c r="H167" s="115" t="n">
        <f aca="false">IFERROR(SUM($F167:$G167),"")</f>
        <v>0</v>
      </c>
      <c r="J167" s="116"/>
      <c r="K167" s="116"/>
      <c r="L167" s="116"/>
      <c r="M167" s="116"/>
      <c r="N167" s="116"/>
      <c r="O167" s="116"/>
      <c r="P167" s="116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</row>
    <row r="168" customFormat="false" ht="16.5" hidden="false" customHeight="true" outlineLevel="0" collapsed="false">
      <c r="A168" s="71"/>
      <c r="B168" s="117" t="s">
        <v>347</v>
      </c>
      <c r="C168" s="111"/>
      <c r="D168" s="118" t="s">
        <v>348</v>
      </c>
      <c r="E168" s="113" t="s">
        <v>75</v>
      </c>
      <c r="F168" s="119" t="n">
        <v>0</v>
      </c>
      <c r="G168" s="119" t="n">
        <v>163</v>
      </c>
      <c r="H168" s="115" t="n">
        <f aca="false">IFERROR(SUM($F168:$G168),"")</f>
        <v>163</v>
      </c>
      <c r="J168" s="120" t="n">
        <v>0.28</v>
      </c>
      <c r="K168" s="121" t="n">
        <f aca="false">+$H168*J168</f>
        <v>45.64</v>
      </c>
      <c r="L168" s="122" t="n">
        <v>1.4</v>
      </c>
      <c r="M168" s="122" t="n">
        <v>35</v>
      </c>
      <c r="N168" s="121" t="n">
        <f aca="false">+$H168*L168</f>
        <v>228.2</v>
      </c>
      <c r="O168" s="121" t="n">
        <f aca="false">+$H168*M168</f>
        <v>5705</v>
      </c>
      <c r="P168" s="121" t="n">
        <f aca="false">+SUM(N168:O168)</f>
        <v>5933.2</v>
      </c>
      <c r="R168" s="109"/>
      <c r="S168" s="109" t="n">
        <f aca="false">+R168*$H168</f>
        <v>0</v>
      </c>
      <c r="T168" s="109"/>
      <c r="U168" s="109" t="n">
        <f aca="false">+T168*$H168</f>
        <v>0</v>
      </c>
      <c r="V168" s="109" t="n">
        <f aca="false">+T168*$V$11</f>
        <v>0</v>
      </c>
      <c r="W168" s="109" t="n">
        <f aca="false">+V168*$H168</f>
        <v>0</v>
      </c>
      <c r="X168" s="109"/>
      <c r="Y168" s="109" t="n">
        <f aca="false">+X168*$H168</f>
        <v>0</v>
      </c>
      <c r="Z168" s="109"/>
      <c r="AA168" s="109" t="n">
        <f aca="false">+Z168*$H168</f>
        <v>0</v>
      </c>
      <c r="AB168" s="109"/>
      <c r="AC168" s="109" t="n">
        <f aca="false">+AB168*$H168</f>
        <v>0</v>
      </c>
      <c r="AD168" s="109" t="n">
        <f aca="false">+R168+V168+X168+Z168+AB168</f>
        <v>0</v>
      </c>
      <c r="AE168" s="109" t="n">
        <f aca="false">+AD168*$H168</f>
        <v>0</v>
      </c>
    </row>
    <row r="169" customFormat="false" ht="16.5" hidden="true" customHeight="true" outlineLevel="0" collapsed="false">
      <c r="A169" s="71"/>
      <c r="B169" s="117" t="s">
        <v>349</v>
      </c>
      <c r="C169" s="111"/>
      <c r="D169" s="118" t="s">
        <v>350</v>
      </c>
      <c r="E169" s="113" t="s">
        <v>75</v>
      </c>
      <c r="F169" s="119" t="n">
        <v>0</v>
      </c>
      <c r="G169" s="119" t="n">
        <v>0</v>
      </c>
      <c r="H169" s="115" t="n">
        <f aca="false">IFERROR(SUM($F169:$G169),"")</f>
        <v>0</v>
      </c>
      <c r="J169" s="116"/>
      <c r="K169" s="116"/>
      <c r="L169" s="116"/>
      <c r="M169" s="116"/>
      <c r="N169" s="116"/>
      <c r="O169" s="116"/>
      <c r="P169" s="116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</row>
    <row r="170" customFormat="false" ht="16.5" hidden="true" customHeight="true" outlineLevel="0" collapsed="false">
      <c r="A170" s="71"/>
      <c r="B170" s="117" t="s">
        <v>351</v>
      </c>
      <c r="C170" s="111"/>
      <c r="D170" s="118" t="s">
        <v>352</v>
      </c>
      <c r="E170" s="113" t="s">
        <v>75</v>
      </c>
      <c r="F170" s="119" t="n">
        <v>0</v>
      </c>
      <c r="G170" s="119" t="n">
        <v>0</v>
      </c>
      <c r="H170" s="115" t="n">
        <f aca="false">IFERROR(SUM($F170:$G170),"")</f>
        <v>0</v>
      </c>
      <c r="J170" s="116"/>
      <c r="K170" s="116"/>
      <c r="L170" s="116"/>
      <c r="M170" s="116"/>
      <c r="N170" s="116"/>
      <c r="O170" s="116"/>
      <c r="P170" s="116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</row>
    <row r="171" customFormat="false" ht="16.5" hidden="true" customHeight="true" outlineLevel="0" collapsed="false">
      <c r="A171" s="71"/>
      <c r="B171" s="117" t="s">
        <v>353</v>
      </c>
      <c r="C171" s="111"/>
      <c r="D171" s="118" t="s">
        <v>354</v>
      </c>
      <c r="E171" s="113" t="s">
        <v>75</v>
      </c>
      <c r="F171" s="119" t="n">
        <v>0</v>
      </c>
      <c r="G171" s="119" t="n">
        <v>0</v>
      </c>
      <c r="H171" s="115" t="n">
        <f aca="false">IFERROR(SUM($F171:$G171),"")</f>
        <v>0</v>
      </c>
      <c r="J171" s="116"/>
      <c r="K171" s="116"/>
      <c r="L171" s="116"/>
      <c r="M171" s="116"/>
      <c r="N171" s="116"/>
      <c r="O171" s="116"/>
      <c r="P171" s="116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</row>
    <row r="172" customFormat="false" ht="16.5" hidden="true" customHeight="true" outlineLevel="0" collapsed="false">
      <c r="A172" s="71"/>
      <c r="B172" s="117" t="s">
        <v>355</v>
      </c>
      <c r="C172" s="111"/>
      <c r="D172" s="118" t="s">
        <v>356</v>
      </c>
      <c r="E172" s="113" t="s">
        <v>75</v>
      </c>
      <c r="F172" s="119" t="n">
        <v>0</v>
      </c>
      <c r="G172" s="119" t="n">
        <v>0</v>
      </c>
      <c r="H172" s="115" t="n">
        <f aca="false">IFERROR(SUM($F172:$G172),"")</f>
        <v>0</v>
      </c>
      <c r="J172" s="116"/>
      <c r="K172" s="116"/>
      <c r="L172" s="116"/>
      <c r="M172" s="116"/>
      <c r="N172" s="116"/>
      <c r="O172" s="116"/>
      <c r="P172" s="116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</row>
    <row r="173" s="158" customFormat="true" ht="16.5" hidden="false" customHeight="true" outlineLevel="0" collapsed="false">
      <c r="A173" s="151"/>
      <c r="B173" s="152" t="s">
        <v>357</v>
      </c>
      <c r="C173" s="153"/>
      <c r="D173" s="154" t="s">
        <v>358</v>
      </c>
      <c r="E173" s="155" t="s">
        <v>75</v>
      </c>
      <c r="F173" s="156" t="n">
        <v>0</v>
      </c>
      <c r="G173" s="156" t="n">
        <v>229</v>
      </c>
      <c r="H173" s="157" t="n">
        <f aca="false">IFERROR(SUM($F173:$G173),"")</f>
        <v>229</v>
      </c>
      <c r="J173" s="159" t="n">
        <v>0.05</v>
      </c>
      <c r="K173" s="160" t="n">
        <f aca="false">+$H173*J173</f>
        <v>11.45</v>
      </c>
      <c r="L173" s="160" t="n">
        <v>0.25</v>
      </c>
      <c r="M173" s="160" t="n">
        <v>1.36</v>
      </c>
      <c r="N173" s="160" t="n">
        <f aca="false">+$H173*L173</f>
        <v>57.25</v>
      </c>
      <c r="O173" s="160" t="n">
        <f aca="false">+$H173*M173</f>
        <v>311.44</v>
      </c>
      <c r="P173" s="160" t="n">
        <f aca="false">+SUM(N173:O173)</f>
        <v>368.69</v>
      </c>
      <c r="R173" s="161" t="n">
        <v>0.96</v>
      </c>
      <c r="S173" s="161" t="n">
        <f aca="false">+R173*$H173</f>
        <v>219.84</v>
      </c>
      <c r="T173" s="161" t="n">
        <v>0.51</v>
      </c>
      <c r="U173" s="161" t="n">
        <f aca="false">+T173*$H173</f>
        <v>116.79</v>
      </c>
      <c r="V173" s="161" t="n">
        <f aca="false">+T173*$V$11</f>
        <v>2.55</v>
      </c>
      <c r="W173" s="161" t="n">
        <f aca="false">+V173*$H173</f>
        <v>583.95</v>
      </c>
      <c r="X173" s="161" t="n">
        <v>0.1</v>
      </c>
      <c r="Y173" s="161" t="n">
        <f aca="false">+X173*$H173</f>
        <v>22.9</v>
      </c>
      <c r="Z173" s="161" t="n">
        <v>0.29</v>
      </c>
      <c r="AA173" s="161" t="n">
        <f aca="false">+Z173*$H173</f>
        <v>66.41</v>
      </c>
      <c r="AB173" s="161"/>
      <c r="AC173" s="161" t="n">
        <f aca="false">+AB173*$H173</f>
        <v>0</v>
      </c>
      <c r="AD173" s="161" t="n">
        <f aca="false">+R173+V173+X173+Z173+AB173</f>
        <v>3.9</v>
      </c>
      <c r="AE173" s="161" t="n">
        <f aca="false">+AD173*$H173</f>
        <v>893.1</v>
      </c>
    </row>
    <row r="174" customFormat="false" ht="16.5" hidden="true" customHeight="true" outlineLevel="0" collapsed="false">
      <c r="A174" s="71"/>
      <c r="B174" s="162" t="s">
        <v>359</v>
      </c>
      <c r="C174" s="111"/>
      <c r="D174" s="163" t="s">
        <v>360</v>
      </c>
      <c r="E174" s="113" t="s">
        <v>75</v>
      </c>
      <c r="F174" s="119" t="n">
        <v>0</v>
      </c>
      <c r="G174" s="119" t="n">
        <v>0</v>
      </c>
      <c r="H174" s="115" t="n">
        <f aca="false">IFERROR(SUM($F174:$G174),"")</f>
        <v>0</v>
      </c>
      <c r="J174" s="116"/>
      <c r="K174" s="116"/>
      <c r="L174" s="116"/>
      <c r="M174" s="116"/>
      <c r="N174" s="116"/>
      <c r="O174" s="116"/>
      <c r="P174" s="116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</row>
    <row r="175" s="171" customFormat="true" ht="16.5" hidden="false" customHeight="true" outlineLevel="0" collapsed="false">
      <c r="A175" s="164"/>
      <c r="B175" s="165" t="s">
        <v>361</v>
      </c>
      <c r="C175" s="166"/>
      <c r="D175" s="167" t="s">
        <v>362</v>
      </c>
      <c r="E175" s="168" t="s">
        <v>75</v>
      </c>
      <c r="F175" s="169" t="n">
        <v>0</v>
      </c>
      <c r="G175" s="169" t="n">
        <v>2863</v>
      </c>
      <c r="H175" s="170" t="n">
        <f aca="false">IFERROR(SUM($F175:$G175),"")</f>
        <v>2863</v>
      </c>
      <c r="J175" s="172" t="n">
        <v>0.065</v>
      </c>
      <c r="K175" s="173" t="n">
        <f aca="false">+$H175*J175</f>
        <v>186.095</v>
      </c>
      <c r="L175" s="173" t="n">
        <v>0.33</v>
      </c>
      <c r="M175" s="173" t="n">
        <v>3.26</v>
      </c>
      <c r="N175" s="173" t="n">
        <f aca="false">+$H175*L175</f>
        <v>944.79</v>
      </c>
      <c r="O175" s="173" t="n">
        <f aca="false">+$H175*M175</f>
        <v>9333.38</v>
      </c>
      <c r="P175" s="173" t="n">
        <f aca="false">+SUM(N175:O175)</f>
        <v>10278.17</v>
      </c>
      <c r="R175" s="174" t="n">
        <v>8.85</v>
      </c>
      <c r="S175" s="174" t="n">
        <f aca="false">+R175*$H175</f>
        <v>25337.55</v>
      </c>
      <c r="T175" s="174" t="n">
        <v>0.65</v>
      </c>
      <c r="U175" s="174" t="n">
        <f aca="false">+T175*$H175</f>
        <v>1860.95</v>
      </c>
      <c r="V175" s="174" t="n">
        <f aca="false">+T175*$V$11</f>
        <v>3.25</v>
      </c>
      <c r="W175" s="174" t="n">
        <f aca="false">+V175*$H175</f>
        <v>9304.75</v>
      </c>
      <c r="X175" s="174" t="n">
        <v>0.14</v>
      </c>
      <c r="Y175" s="174" t="n">
        <f aca="false">+X175*$H175</f>
        <v>400.82</v>
      </c>
      <c r="Z175" s="174" t="n">
        <v>0.37</v>
      </c>
      <c r="AA175" s="174" t="n">
        <f aca="false">+Z175*$H175</f>
        <v>1059.31</v>
      </c>
      <c r="AB175" s="174"/>
      <c r="AC175" s="174" t="n">
        <f aca="false">+AB175*$H175</f>
        <v>0</v>
      </c>
      <c r="AD175" s="174" t="n">
        <f aca="false">+R175+V175+X175+Z175+AB175</f>
        <v>12.61</v>
      </c>
      <c r="AE175" s="174" t="n">
        <f aca="false">+AD175*$H175</f>
        <v>36102.43</v>
      </c>
    </row>
    <row r="176" s="182" customFormat="true" ht="16.5" hidden="false" customHeight="true" outlineLevel="0" collapsed="false">
      <c r="A176" s="175"/>
      <c r="B176" s="176" t="s">
        <v>363</v>
      </c>
      <c r="C176" s="177"/>
      <c r="D176" s="178" t="s">
        <v>364</v>
      </c>
      <c r="E176" s="179" t="s">
        <v>75</v>
      </c>
      <c r="F176" s="180" t="n">
        <v>0</v>
      </c>
      <c r="G176" s="180" t="n">
        <v>115</v>
      </c>
      <c r="H176" s="181" t="n">
        <f aca="false">IFERROR(SUM($F176:$G176),"")</f>
        <v>115</v>
      </c>
      <c r="J176" s="183" t="n">
        <v>0.065</v>
      </c>
      <c r="K176" s="184" t="n">
        <f aca="false">+$H176*J176</f>
        <v>7.475</v>
      </c>
      <c r="L176" s="184" t="n">
        <v>0.33</v>
      </c>
      <c r="M176" s="184" t="n">
        <v>5.44</v>
      </c>
      <c r="N176" s="184" t="n">
        <f aca="false">+$H176*L176</f>
        <v>37.95</v>
      </c>
      <c r="O176" s="184" t="n">
        <f aca="false">+$H176*M176</f>
        <v>625.6</v>
      </c>
      <c r="P176" s="184" t="n">
        <f aca="false">+SUM(N176:O176)</f>
        <v>663.55</v>
      </c>
      <c r="R176" s="185" t="n">
        <v>8.85</v>
      </c>
      <c r="S176" s="185" t="n">
        <f aca="false">+R176*$H176</f>
        <v>1017.75</v>
      </c>
      <c r="T176" s="185" t="n">
        <v>0.65</v>
      </c>
      <c r="U176" s="185" t="n">
        <f aca="false">+T176*$H176</f>
        <v>74.75</v>
      </c>
      <c r="V176" s="185" t="n">
        <f aca="false">+T176*$V$11</f>
        <v>3.25</v>
      </c>
      <c r="W176" s="185" t="n">
        <f aca="false">+V176*$H176</f>
        <v>373.75</v>
      </c>
      <c r="X176" s="185" t="n">
        <v>0.14</v>
      </c>
      <c r="Y176" s="185" t="n">
        <f aca="false">+X176*$H176</f>
        <v>16.1</v>
      </c>
      <c r="Z176" s="185" t="n">
        <v>0.37</v>
      </c>
      <c r="AA176" s="185" t="n">
        <f aca="false">+Z176*$H176</f>
        <v>42.55</v>
      </c>
      <c r="AB176" s="185"/>
      <c r="AC176" s="185" t="n">
        <f aca="false">+AB176*$H176</f>
        <v>0</v>
      </c>
      <c r="AD176" s="185" t="n">
        <f aca="false">+R176+V176+X176+Z176+AB176</f>
        <v>12.61</v>
      </c>
      <c r="AE176" s="185" t="n">
        <f aca="false">+AD176*$H176</f>
        <v>1450.15</v>
      </c>
    </row>
    <row r="177" s="193" customFormat="true" ht="16.5" hidden="false" customHeight="true" outlineLevel="0" collapsed="false">
      <c r="A177" s="186"/>
      <c r="B177" s="187" t="s">
        <v>365</v>
      </c>
      <c r="C177" s="188"/>
      <c r="D177" s="189" t="s">
        <v>366</v>
      </c>
      <c r="E177" s="190" t="s">
        <v>75</v>
      </c>
      <c r="F177" s="191" t="n">
        <v>0</v>
      </c>
      <c r="G177" s="191" t="n">
        <v>1260</v>
      </c>
      <c r="H177" s="192" t="n">
        <f aca="false">IFERROR(SUM($F177:$G177),"")</f>
        <v>1260</v>
      </c>
      <c r="J177" s="194" t="n">
        <v>0.07</v>
      </c>
      <c r="K177" s="195" t="n">
        <f aca="false">+$H177*J177</f>
        <v>88.2</v>
      </c>
      <c r="L177" s="195" t="n">
        <v>0.35</v>
      </c>
      <c r="M177" s="195" t="n">
        <v>8.71</v>
      </c>
      <c r="N177" s="195" t="n">
        <f aca="false">+$H177*L177</f>
        <v>441</v>
      </c>
      <c r="O177" s="195" t="n">
        <f aca="false">+$H177*M177</f>
        <v>10974.6</v>
      </c>
      <c r="P177" s="195" t="n">
        <f aca="false">+SUM(N177:O177)</f>
        <v>11415.6</v>
      </c>
      <c r="R177" s="196" t="n">
        <v>8.85</v>
      </c>
      <c r="S177" s="196" t="n">
        <f aca="false">+R177*$H177</f>
        <v>11151</v>
      </c>
      <c r="T177" s="196" t="n">
        <v>0.65</v>
      </c>
      <c r="U177" s="196" t="n">
        <f aca="false">+T177*$H177</f>
        <v>819</v>
      </c>
      <c r="V177" s="196" t="n">
        <f aca="false">+T177*$V$11</f>
        <v>3.25</v>
      </c>
      <c r="W177" s="196" t="n">
        <f aca="false">+V177*$H177</f>
        <v>4095</v>
      </c>
      <c r="X177" s="196" t="n">
        <v>0.14</v>
      </c>
      <c r="Y177" s="196" t="n">
        <f aca="false">+X177*$H177</f>
        <v>176.4</v>
      </c>
      <c r="Z177" s="196" t="n">
        <v>0.37</v>
      </c>
      <c r="AA177" s="196" t="n">
        <f aca="false">+Z177*$H177</f>
        <v>466.2</v>
      </c>
      <c r="AB177" s="196"/>
      <c r="AC177" s="196" t="n">
        <f aca="false">+AB177*$H177</f>
        <v>0</v>
      </c>
      <c r="AD177" s="196" t="n">
        <f aca="false">+R177+V177+X177+Z177+AB177</f>
        <v>12.61</v>
      </c>
      <c r="AE177" s="196" t="n">
        <f aca="false">+AD177*$H177</f>
        <v>15888.6</v>
      </c>
    </row>
    <row r="178" s="204" customFormat="true" ht="16.5" hidden="false" customHeight="true" outlineLevel="0" collapsed="false">
      <c r="A178" s="197"/>
      <c r="B178" s="198" t="s">
        <v>367</v>
      </c>
      <c r="C178" s="199"/>
      <c r="D178" s="200" t="s">
        <v>368</v>
      </c>
      <c r="E178" s="201" t="s">
        <v>75</v>
      </c>
      <c r="F178" s="202" t="n">
        <v>0</v>
      </c>
      <c r="G178" s="202" t="n">
        <v>58</v>
      </c>
      <c r="H178" s="203" t="n">
        <f aca="false">IFERROR(SUM($F178:$G178),"")</f>
        <v>58</v>
      </c>
      <c r="J178" s="205" t="n">
        <v>0.08</v>
      </c>
      <c r="K178" s="206" t="n">
        <f aca="false">+$H178*J178</f>
        <v>4.64</v>
      </c>
      <c r="L178" s="206" t="n">
        <v>0.4</v>
      </c>
      <c r="M178" s="206" t="n">
        <v>13.6</v>
      </c>
      <c r="N178" s="206" t="n">
        <f aca="false">+$H178*L178</f>
        <v>23.2</v>
      </c>
      <c r="O178" s="206" t="n">
        <f aca="false">+$H178*M178</f>
        <v>788.8</v>
      </c>
      <c r="P178" s="206" t="n">
        <f aca="false">+SUM(N178:O178)</f>
        <v>812</v>
      </c>
      <c r="R178" s="207" t="n">
        <v>10.73</v>
      </c>
      <c r="S178" s="207" t="n">
        <f aca="false">+R178*$H178</f>
        <v>622.34</v>
      </c>
      <c r="T178" s="207" t="n">
        <v>0.75</v>
      </c>
      <c r="U178" s="207" t="n">
        <f aca="false">+T178*$H178</f>
        <v>43.5</v>
      </c>
      <c r="V178" s="207" t="n">
        <f aca="false">+T178*$V$11</f>
        <v>3.75</v>
      </c>
      <c r="W178" s="207" t="n">
        <f aca="false">+V178*$H178</f>
        <v>217.5</v>
      </c>
      <c r="X178" s="207" t="n">
        <v>0.16</v>
      </c>
      <c r="Y178" s="207" t="n">
        <f aca="false">+X178*$H178</f>
        <v>9.28</v>
      </c>
      <c r="Z178" s="207" t="n">
        <v>0.43</v>
      </c>
      <c r="AA178" s="207" t="n">
        <f aca="false">+Z178*$H178</f>
        <v>24.94</v>
      </c>
      <c r="AB178" s="207"/>
      <c r="AC178" s="207" t="n">
        <f aca="false">+AB178*$H178</f>
        <v>0</v>
      </c>
      <c r="AD178" s="207" t="n">
        <f aca="false">+R178+V178+X178+Z178+AB178</f>
        <v>15.07</v>
      </c>
      <c r="AE178" s="207" t="n">
        <f aca="false">+AD178*$H178</f>
        <v>874.06</v>
      </c>
    </row>
    <row r="179" customFormat="false" ht="16.5" hidden="false" customHeight="true" outlineLevel="0" collapsed="false">
      <c r="A179" s="71"/>
      <c r="B179" s="117" t="s">
        <v>369</v>
      </c>
      <c r="C179" s="111"/>
      <c r="D179" s="118" t="s">
        <v>370</v>
      </c>
      <c r="E179" s="113" t="s">
        <v>75</v>
      </c>
      <c r="F179" s="119" t="n">
        <v>0</v>
      </c>
      <c r="G179" s="119" t="n">
        <v>115</v>
      </c>
      <c r="H179" s="115" t="n">
        <f aca="false">IFERROR(SUM($F179:$G179),"")</f>
        <v>115</v>
      </c>
      <c r="J179" s="120" t="n">
        <v>0.1</v>
      </c>
      <c r="K179" s="121" t="n">
        <f aca="false">+$H179*J179</f>
        <v>11.5</v>
      </c>
      <c r="L179" s="122" t="n">
        <v>0.5</v>
      </c>
      <c r="M179" s="122" t="n">
        <v>19.04</v>
      </c>
      <c r="N179" s="121" t="n">
        <f aca="false">+$H179*L179</f>
        <v>57.5</v>
      </c>
      <c r="O179" s="121" t="n">
        <f aca="false">+$H179*M179</f>
        <v>2189.6</v>
      </c>
      <c r="P179" s="121" t="n">
        <f aca="false">+SUM(N179:O179)</f>
        <v>2247.1</v>
      </c>
      <c r="R179" s="109" t="n">
        <v>29.12</v>
      </c>
      <c r="S179" s="109" t="n">
        <f aca="false">+R179*$H179</f>
        <v>3348.8</v>
      </c>
      <c r="T179" s="109" t="n">
        <v>0.92</v>
      </c>
      <c r="U179" s="109" t="n">
        <f aca="false">+T179*$H179</f>
        <v>105.8</v>
      </c>
      <c r="V179" s="109" t="n">
        <f aca="false">+T179*$V$11</f>
        <v>4.6</v>
      </c>
      <c r="W179" s="109" t="n">
        <f aca="false">+V179*$H179</f>
        <v>529</v>
      </c>
      <c r="X179" s="109" t="n">
        <v>0.19</v>
      </c>
      <c r="Y179" s="109" t="n">
        <f aca="false">+X179*$H179</f>
        <v>21.85</v>
      </c>
      <c r="Z179" s="109" t="n">
        <v>0.53</v>
      </c>
      <c r="AA179" s="109" t="n">
        <f aca="false">+Z179*$H179</f>
        <v>60.95</v>
      </c>
      <c r="AB179" s="109"/>
      <c r="AC179" s="109" t="n">
        <f aca="false">+AB179*$H179</f>
        <v>0</v>
      </c>
      <c r="AD179" s="109" t="n">
        <f aca="false">+R179+V179+X179+Z179+AB179</f>
        <v>34.44</v>
      </c>
      <c r="AE179" s="109" t="n">
        <f aca="false">+AD179*$H179</f>
        <v>3960.6</v>
      </c>
    </row>
    <row r="180" customFormat="false" ht="16.5" hidden="false" customHeight="true" outlineLevel="0" collapsed="false">
      <c r="A180" s="71"/>
      <c r="B180" s="117" t="s">
        <v>371</v>
      </c>
      <c r="C180" s="111"/>
      <c r="D180" s="118" t="s">
        <v>372</v>
      </c>
      <c r="E180" s="113" t="s">
        <v>75</v>
      </c>
      <c r="F180" s="119" t="n">
        <v>0</v>
      </c>
      <c r="G180" s="119" t="n">
        <v>115</v>
      </c>
      <c r="H180" s="115" t="n">
        <f aca="false">IFERROR(SUM($F180:$G180),"")</f>
        <v>115</v>
      </c>
      <c r="J180" s="120" t="n">
        <v>0.11</v>
      </c>
      <c r="K180" s="121" t="n">
        <f aca="false">+$H180*J180</f>
        <v>12.65</v>
      </c>
      <c r="L180" s="122" t="n">
        <v>0.55</v>
      </c>
      <c r="M180" s="122" t="n">
        <v>27.2</v>
      </c>
      <c r="N180" s="121" t="n">
        <f aca="false">+$H180*L180</f>
        <v>63.25</v>
      </c>
      <c r="O180" s="121" t="n">
        <f aca="false">+$H180*M180</f>
        <v>3128</v>
      </c>
      <c r="P180" s="121" t="n">
        <f aca="false">+SUM(N180:O180)</f>
        <v>3191.25</v>
      </c>
      <c r="R180" s="109" t="n">
        <v>29.12</v>
      </c>
      <c r="S180" s="109" t="n">
        <f aca="false">+R180*$H180</f>
        <v>3348.8</v>
      </c>
      <c r="T180" s="109" t="n">
        <v>0.92</v>
      </c>
      <c r="U180" s="109" t="n">
        <f aca="false">+T180*$H180</f>
        <v>105.8</v>
      </c>
      <c r="V180" s="109" t="n">
        <f aca="false">+T180*$V$11</f>
        <v>4.6</v>
      </c>
      <c r="W180" s="109" t="n">
        <f aca="false">+V180*$H180</f>
        <v>529</v>
      </c>
      <c r="X180" s="109" t="n">
        <v>0.19</v>
      </c>
      <c r="Y180" s="109" t="n">
        <f aca="false">+X180*$H180</f>
        <v>21.85</v>
      </c>
      <c r="Z180" s="109" t="n">
        <v>0.53</v>
      </c>
      <c r="AA180" s="109" t="n">
        <f aca="false">+Z180*$H180</f>
        <v>60.95</v>
      </c>
      <c r="AB180" s="109"/>
      <c r="AC180" s="109" t="n">
        <f aca="false">+AB180*$H180</f>
        <v>0</v>
      </c>
      <c r="AD180" s="109" t="n">
        <f aca="false">+R180+V180+X180+Z180+AB180</f>
        <v>34.44</v>
      </c>
      <c r="AE180" s="109" t="n">
        <f aca="false">+AD180*$H180</f>
        <v>3960.6</v>
      </c>
    </row>
    <row r="181" customFormat="false" ht="16.5" hidden="true" customHeight="true" outlineLevel="0" collapsed="false">
      <c r="A181" s="71"/>
      <c r="B181" s="117" t="s">
        <v>373</v>
      </c>
      <c r="C181" s="111"/>
      <c r="D181" s="118" t="s">
        <v>374</v>
      </c>
      <c r="E181" s="113" t="s">
        <v>75</v>
      </c>
      <c r="F181" s="119" t="n">
        <v>0</v>
      </c>
      <c r="G181" s="119" t="n">
        <v>0</v>
      </c>
      <c r="H181" s="115" t="n">
        <f aca="false">IFERROR(SUM($F181:$G181),"")</f>
        <v>0</v>
      </c>
      <c r="J181" s="116"/>
      <c r="K181" s="116"/>
      <c r="L181" s="116"/>
      <c r="M181" s="116"/>
      <c r="N181" s="116"/>
      <c r="O181" s="116"/>
      <c r="P181" s="116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</row>
    <row r="182" customFormat="false" ht="16.5" hidden="true" customHeight="true" outlineLevel="0" collapsed="false">
      <c r="A182" s="71"/>
      <c r="B182" s="117" t="s">
        <v>375</v>
      </c>
      <c r="C182" s="111"/>
      <c r="D182" s="118" t="s">
        <v>376</v>
      </c>
      <c r="E182" s="113" t="s">
        <v>75</v>
      </c>
      <c r="F182" s="119" t="n">
        <v>0</v>
      </c>
      <c r="G182" s="119" t="n">
        <v>0</v>
      </c>
      <c r="H182" s="115" t="n">
        <f aca="false">IFERROR(SUM($F182:$G182),"")</f>
        <v>0</v>
      </c>
      <c r="J182" s="116"/>
      <c r="K182" s="116"/>
      <c r="L182" s="116"/>
      <c r="M182" s="116"/>
      <c r="N182" s="116"/>
      <c r="O182" s="116"/>
      <c r="P182" s="116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</row>
    <row r="183" customFormat="false" ht="16.5" hidden="false" customHeight="true" outlineLevel="0" collapsed="false">
      <c r="A183" s="71"/>
      <c r="B183" s="117" t="s">
        <v>377</v>
      </c>
      <c r="C183" s="111"/>
      <c r="D183" s="118" t="s">
        <v>378</v>
      </c>
      <c r="E183" s="113" t="s">
        <v>75</v>
      </c>
      <c r="F183" s="119" t="n">
        <v>0</v>
      </c>
      <c r="G183" s="119" t="n">
        <v>344</v>
      </c>
      <c r="H183" s="115" t="n">
        <f aca="false">IFERROR(SUM($F183:$G183),"")</f>
        <v>344</v>
      </c>
      <c r="J183" s="120" t="n">
        <v>0.14</v>
      </c>
      <c r="K183" s="121" t="n">
        <f aca="false">+$H183*J183</f>
        <v>48.16</v>
      </c>
      <c r="L183" s="122" t="n">
        <v>0.7</v>
      </c>
      <c r="M183" s="122" t="n">
        <v>65.29</v>
      </c>
      <c r="N183" s="121" t="n">
        <f aca="false">+$H183*L183</f>
        <v>240.8</v>
      </c>
      <c r="O183" s="121" t="n">
        <f aca="false">+$H183*M183</f>
        <v>22459.76</v>
      </c>
      <c r="P183" s="121" t="n">
        <f aca="false">+SUM(N183:O183)</f>
        <v>22700.56</v>
      </c>
      <c r="R183" s="109" t="n">
        <v>69.94</v>
      </c>
      <c r="S183" s="109" t="n">
        <f aca="false">+R183*$H183</f>
        <v>24059.36</v>
      </c>
      <c r="T183" s="109" t="n">
        <v>1.28</v>
      </c>
      <c r="U183" s="109" t="n">
        <f aca="false">+T183*$H183</f>
        <v>440.32</v>
      </c>
      <c r="V183" s="109" t="n">
        <f aca="false">+T183*$V$11</f>
        <v>6.4</v>
      </c>
      <c r="W183" s="109" t="n">
        <f aca="false">+V183*$H183</f>
        <v>2201.6</v>
      </c>
      <c r="X183" s="109" t="n">
        <v>0.27</v>
      </c>
      <c r="Y183" s="109" t="n">
        <f aca="false">+X183*$H183</f>
        <v>92.88</v>
      </c>
      <c r="Z183" s="109" t="n">
        <v>0.74</v>
      </c>
      <c r="AA183" s="109" t="n">
        <f aca="false">+Z183*$H183</f>
        <v>254.56</v>
      </c>
      <c r="AB183" s="109"/>
      <c r="AC183" s="109" t="n">
        <f aca="false">+AB183*$H183</f>
        <v>0</v>
      </c>
      <c r="AD183" s="109" t="n">
        <f aca="false">+R183+V183+X183+Z183+AB183</f>
        <v>77.35</v>
      </c>
      <c r="AE183" s="109" t="n">
        <f aca="false">+AD183*$H183</f>
        <v>26608.4</v>
      </c>
    </row>
    <row r="184" customFormat="false" ht="16.5" hidden="false" customHeight="true" outlineLevel="0" collapsed="false">
      <c r="A184" s="71"/>
      <c r="B184" s="117" t="s">
        <v>379</v>
      </c>
      <c r="C184" s="111"/>
      <c r="D184" s="118" t="s">
        <v>380</v>
      </c>
      <c r="E184" s="113" t="s">
        <v>75</v>
      </c>
      <c r="F184" s="119" t="n">
        <v>0</v>
      </c>
      <c r="G184" s="119" t="n">
        <v>172</v>
      </c>
      <c r="H184" s="115" t="n">
        <f aca="false">IFERROR(SUM($F184:$G184),"")</f>
        <v>172</v>
      </c>
      <c r="J184" s="120" t="n">
        <v>0.16</v>
      </c>
      <c r="K184" s="121" t="n">
        <f aca="false">+$H184*J184</f>
        <v>27.52</v>
      </c>
      <c r="L184" s="122" t="n">
        <v>0.8</v>
      </c>
      <c r="M184" s="122" t="n">
        <v>81.61</v>
      </c>
      <c r="N184" s="121" t="n">
        <f aca="false">+$H184*L184</f>
        <v>137.6</v>
      </c>
      <c r="O184" s="121" t="n">
        <f aca="false">+$H184*M184</f>
        <v>14036.92</v>
      </c>
      <c r="P184" s="121" t="n">
        <f aca="false">+SUM(N184:O184)</f>
        <v>14174.52</v>
      </c>
      <c r="R184" s="109" t="n">
        <v>69.94</v>
      </c>
      <c r="S184" s="109" t="n">
        <f aca="false">+R184*$H184</f>
        <v>12029.68</v>
      </c>
      <c r="T184" s="109" t="n">
        <v>1.28</v>
      </c>
      <c r="U184" s="109" t="n">
        <f aca="false">+T184*$H184</f>
        <v>220.16</v>
      </c>
      <c r="V184" s="109" t="n">
        <f aca="false">+T184*$V$11</f>
        <v>6.4</v>
      </c>
      <c r="W184" s="109" t="n">
        <f aca="false">+V184*$H184</f>
        <v>1100.8</v>
      </c>
      <c r="X184" s="109" t="n">
        <v>0.27</v>
      </c>
      <c r="Y184" s="109" t="n">
        <f aca="false">+X184*$H184</f>
        <v>46.44</v>
      </c>
      <c r="Z184" s="109" t="n">
        <v>0.74</v>
      </c>
      <c r="AA184" s="109" t="n">
        <f aca="false">+Z184*$H184</f>
        <v>127.28</v>
      </c>
      <c r="AB184" s="109"/>
      <c r="AC184" s="109" t="n">
        <f aca="false">+AB184*$H184</f>
        <v>0</v>
      </c>
      <c r="AD184" s="109" t="n">
        <f aca="false">+R184+V184+X184+Z184+AB184</f>
        <v>77.35</v>
      </c>
      <c r="AE184" s="109" t="n">
        <f aca="false">+AD184*$H184</f>
        <v>13304.2</v>
      </c>
    </row>
    <row r="185" customFormat="false" ht="16.5" hidden="true" customHeight="true" outlineLevel="0" collapsed="false">
      <c r="A185" s="71"/>
      <c r="B185" s="117" t="s">
        <v>381</v>
      </c>
      <c r="C185" s="111"/>
      <c r="D185" s="118" t="s">
        <v>382</v>
      </c>
      <c r="E185" s="113" t="s">
        <v>75</v>
      </c>
      <c r="F185" s="119" t="n">
        <v>0</v>
      </c>
      <c r="G185" s="119" t="n">
        <v>0</v>
      </c>
      <c r="H185" s="115" t="n">
        <f aca="false">IFERROR(SUM($F185:$G185),"")</f>
        <v>0</v>
      </c>
      <c r="J185" s="116"/>
      <c r="K185" s="116"/>
      <c r="L185" s="116"/>
      <c r="M185" s="116"/>
      <c r="N185" s="116"/>
      <c r="O185" s="116"/>
      <c r="P185" s="116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</row>
    <row r="186" customFormat="false" ht="16.5" hidden="false" customHeight="true" outlineLevel="0" collapsed="false">
      <c r="A186" s="71"/>
      <c r="B186" s="117" t="s">
        <v>383</v>
      </c>
      <c r="C186" s="111"/>
      <c r="D186" s="118" t="s">
        <v>384</v>
      </c>
      <c r="E186" s="113" t="s">
        <v>75</v>
      </c>
      <c r="F186" s="119" t="n">
        <v>0</v>
      </c>
      <c r="G186" s="119" t="n">
        <v>115</v>
      </c>
      <c r="H186" s="115" t="n">
        <f aca="false">IFERROR(SUM($F186:$G186),"")</f>
        <v>115</v>
      </c>
      <c r="J186" s="120" t="n">
        <v>0.18</v>
      </c>
      <c r="K186" s="121" t="n">
        <f aca="false">+$H186*J186</f>
        <v>20.7</v>
      </c>
      <c r="L186" s="122" t="n">
        <v>0.9</v>
      </c>
      <c r="M186" s="122" t="n">
        <v>130.58</v>
      </c>
      <c r="N186" s="121" t="n">
        <f aca="false">+$H186*L186</f>
        <v>103.5</v>
      </c>
      <c r="O186" s="121" t="n">
        <f aca="false">+$H186*M186</f>
        <v>15016.7</v>
      </c>
      <c r="P186" s="121" t="n">
        <f aca="false">+SUM(N186:O186)</f>
        <v>15120.2</v>
      </c>
      <c r="R186" s="109" t="n">
        <v>79.28</v>
      </c>
      <c r="S186" s="109" t="n">
        <f aca="false">+R186*$H186</f>
        <v>9117.2</v>
      </c>
      <c r="T186" s="109" t="n">
        <v>1.45</v>
      </c>
      <c r="U186" s="109" t="n">
        <f aca="false">+T186*$H186</f>
        <v>166.75</v>
      </c>
      <c r="V186" s="109" t="n">
        <f aca="false">+T186*$V$11</f>
        <v>7.25</v>
      </c>
      <c r="W186" s="109" t="n">
        <f aca="false">+V186*$H186</f>
        <v>833.75</v>
      </c>
      <c r="X186" s="109" t="n">
        <v>0.31</v>
      </c>
      <c r="Y186" s="109" t="n">
        <f aca="false">+X186*$H186</f>
        <v>35.65</v>
      </c>
      <c r="Z186" s="109" t="n">
        <v>0.84</v>
      </c>
      <c r="AA186" s="109" t="n">
        <f aca="false">+Z186*$H186</f>
        <v>96.6</v>
      </c>
      <c r="AB186" s="109"/>
      <c r="AC186" s="109" t="n">
        <f aca="false">+AB186*$H186</f>
        <v>0</v>
      </c>
      <c r="AD186" s="109" t="n">
        <f aca="false">+R186+V186+X186+Z186+AB186</f>
        <v>87.68</v>
      </c>
      <c r="AE186" s="109" t="n">
        <f aca="false">+AD186*$H186</f>
        <v>10083.2</v>
      </c>
    </row>
    <row r="187" customFormat="false" ht="16.5" hidden="false" customHeight="true" outlineLevel="0" collapsed="false">
      <c r="A187" s="71"/>
      <c r="B187" s="117" t="s">
        <v>385</v>
      </c>
      <c r="C187" s="111"/>
      <c r="D187" s="118" t="s">
        <v>386</v>
      </c>
      <c r="E187" s="113" t="s">
        <v>75</v>
      </c>
      <c r="F187" s="119" t="n">
        <v>0</v>
      </c>
      <c r="G187" s="119" t="n">
        <v>4638</v>
      </c>
      <c r="H187" s="115" t="n">
        <f aca="false">IFERROR(SUM($F187:$G187),"")</f>
        <v>4638</v>
      </c>
      <c r="J187" s="120" t="n">
        <v>0.2</v>
      </c>
      <c r="K187" s="121" t="n">
        <f aca="false">+$H187*J187</f>
        <v>927.6</v>
      </c>
      <c r="L187" s="122" t="n">
        <v>1</v>
      </c>
      <c r="M187" s="122" t="n">
        <v>6.8</v>
      </c>
      <c r="N187" s="121" t="n">
        <f aca="false">+$H187*L187</f>
        <v>4638</v>
      </c>
      <c r="O187" s="121" t="n">
        <f aca="false">+$H187*M187</f>
        <v>31538.4</v>
      </c>
      <c r="P187" s="121" t="n">
        <f aca="false">+SUM(N187:O187)</f>
        <v>36176.4</v>
      </c>
      <c r="R187" s="109"/>
      <c r="S187" s="109" t="n">
        <f aca="false">+R187*$H187</f>
        <v>0</v>
      </c>
      <c r="T187" s="109"/>
      <c r="U187" s="109" t="n">
        <f aca="false">+T187*$H187</f>
        <v>0</v>
      </c>
      <c r="V187" s="109" t="n">
        <f aca="false">+T187*$V$11</f>
        <v>0</v>
      </c>
      <c r="W187" s="109" t="n">
        <f aca="false">+V187*$H187</f>
        <v>0</v>
      </c>
      <c r="X187" s="109"/>
      <c r="Y187" s="109" t="n">
        <f aca="false">+X187*$H187</f>
        <v>0</v>
      </c>
      <c r="Z187" s="109"/>
      <c r="AA187" s="109" t="n">
        <f aca="false">+Z187*$H187</f>
        <v>0</v>
      </c>
      <c r="AB187" s="109"/>
      <c r="AC187" s="109" t="n">
        <f aca="false">+AB187*$H187</f>
        <v>0</v>
      </c>
      <c r="AD187" s="109" t="n">
        <f aca="false">+R187+V187+X187+Z187+AB187</f>
        <v>0</v>
      </c>
      <c r="AE187" s="109" t="n">
        <f aca="false">+AD187*$H187</f>
        <v>0</v>
      </c>
    </row>
    <row r="188" customFormat="false" ht="16.5" hidden="true" customHeight="true" outlineLevel="0" collapsed="false">
      <c r="A188" s="71"/>
      <c r="B188" s="117" t="s">
        <v>387</v>
      </c>
      <c r="C188" s="111"/>
      <c r="D188" s="118" t="s">
        <v>388</v>
      </c>
      <c r="E188" s="113" t="s">
        <v>75</v>
      </c>
      <c r="F188" s="119" t="n">
        <v>0</v>
      </c>
      <c r="G188" s="119" t="n">
        <v>0</v>
      </c>
      <c r="H188" s="115" t="n">
        <f aca="false">IFERROR(SUM($F188:$G188),"")</f>
        <v>0</v>
      </c>
      <c r="J188" s="116"/>
      <c r="K188" s="116"/>
      <c r="L188" s="116"/>
      <c r="M188" s="116"/>
      <c r="N188" s="116"/>
      <c r="O188" s="116"/>
      <c r="P188" s="116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</row>
    <row r="189" customFormat="false" ht="16.5" hidden="true" customHeight="true" outlineLevel="0" collapsed="false">
      <c r="A189" s="71"/>
      <c r="B189" s="117" t="s">
        <v>389</v>
      </c>
      <c r="C189" s="111"/>
      <c r="D189" s="118" t="s">
        <v>390</v>
      </c>
      <c r="E189" s="113" t="s">
        <v>75</v>
      </c>
      <c r="F189" s="119" t="n">
        <v>0</v>
      </c>
      <c r="G189" s="119" t="n">
        <v>0</v>
      </c>
      <c r="H189" s="115" t="n">
        <f aca="false">IFERROR(SUM($F189:$G189),"")</f>
        <v>0</v>
      </c>
      <c r="J189" s="116"/>
      <c r="K189" s="116"/>
      <c r="L189" s="116"/>
      <c r="M189" s="116"/>
      <c r="N189" s="116"/>
      <c r="O189" s="116"/>
      <c r="P189" s="116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</row>
    <row r="190" customFormat="false" ht="16.5" hidden="false" customHeight="true" outlineLevel="0" collapsed="false">
      <c r="A190" s="71"/>
      <c r="B190" s="117" t="s">
        <v>391</v>
      </c>
      <c r="C190" s="111"/>
      <c r="D190" s="118" t="s">
        <v>392</v>
      </c>
      <c r="E190" s="113" t="s">
        <v>75</v>
      </c>
      <c r="F190" s="119" t="n">
        <v>0</v>
      </c>
      <c r="G190" s="119" t="n">
        <v>344</v>
      </c>
      <c r="H190" s="115" t="n">
        <f aca="false">IFERROR(SUM($F190:$G190),"")</f>
        <v>344</v>
      </c>
      <c r="J190" s="120" t="n">
        <v>0.28</v>
      </c>
      <c r="K190" s="121" t="n">
        <f aca="false">+$H190*J190</f>
        <v>96.32</v>
      </c>
      <c r="L190" s="122" t="n">
        <v>1.4</v>
      </c>
      <c r="M190" s="122" t="n">
        <v>32.64</v>
      </c>
      <c r="N190" s="121" t="n">
        <f aca="false">+$H190*L190</f>
        <v>481.6</v>
      </c>
      <c r="O190" s="121" t="n">
        <f aca="false">+$H190*M190</f>
        <v>11228.16</v>
      </c>
      <c r="P190" s="121" t="n">
        <f aca="false">+SUM(N190:O190)</f>
        <v>11709.76</v>
      </c>
      <c r="R190" s="109"/>
      <c r="S190" s="109" t="n">
        <f aca="false">+R190*$H190</f>
        <v>0</v>
      </c>
      <c r="T190" s="109"/>
      <c r="U190" s="109" t="n">
        <f aca="false">+T190*$H190</f>
        <v>0</v>
      </c>
      <c r="V190" s="109" t="n">
        <f aca="false">+T190*$V$11</f>
        <v>0</v>
      </c>
      <c r="W190" s="109" t="n">
        <f aca="false">+V190*$H190</f>
        <v>0</v>
      </c>
      <c r="X190" s="109"/>
      <c r="Y190" s="109" t="n">
        <f aca="false">+X190*$H190</f>
        <v>0</v>
      </c>
      <c r="Z190" s="109"/>
      <c r="AA190" s="109" t="n">
        <f aca="false">+Z190*$H190</f>
        <v>0</v>
      </c>
      <c r="AB190" s="109"/>
      <c r="AC190" s="109" t="n">
        <f aca="false">+AB190*$H190</f>
        <v>0</v>
      </c>
      <c r="AD190" s="109" t="n">
        <f aca="false">+R190+V190+X190+Z190+AB190</f>
        <v>0</v>
      </c>
      <c r="AE190" s="109" t="n">
        <f aca="false">+AD190*$H190</f>
        <v>0</v>
      </c>
    </row>
    <row r="191" customFormat="false" ht="16.5" hidden="true" customHeight="true" outlineLevel="0" collapsed="false">
      <c r="A191" s="71"/>
      <c r="B191" s="117" t="s">
        <v>393</v>
      </c>
      <c r="C191" s="111"/>
      <c r="D191" s="118" t="s">
        <v>394</v>
      </c>
      <c r="E191" s="113" t="s">
        <v>75</v>
      </c>
      <c r="F191" s="119" t="n">
        <v>0</v>
      </c>
      <c r="G191" s="119" t="n">
        <v>0</v>
      </c>
      <c r="H191" s="115" t="n">
        <f aca="false">IFERROR(SUM($F191:$G191),"")</f>
        <v>0</v>
      </c>
      <c r="J191" s="116"/>
      <c r="K191" s="116"/>
      <c r="L191" s="116"/>
      <c r="M191" s="116"/>
      <c r="N191" s="116"/>
      <c r="O191" s="116"/>
      <c r="P191" s="116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</row>
    <row r="192" customFormat="false" ht="16.5" hidden="true" customHeight="true" outlineLevel="0" collapsed="false">
      <c r="A192" s="71"/>
      <c r="B192" s="117" t="s">
        <v>395</v>
      </c>
      <c r="C192" s="111"/>
      <c r="D192" s="118" t="s">
        <v>396</v>
      </c>
      <c r="E192" s="113" t="s">
        <v>75</v>
      </c>
      <c r="F192" s="119" t="n">
        <v>0</v>
      </c>
      <c r="G192" s="119" t="n">
        <v>0</v>
      </c>
      <c r="H192" s="115" t="n">
        <f aca="false">IFERROR(SUM($F192:$G192),"")</f>
        <v>0</v>
      </c>
      <c r="J192" s="116"/>
      <c r="K192" s="116"/>
      <c r="L192" s="116"/>
      <c r="M192" s="116"/>
      <c r="N192" s="116"/>
      <c r="O192" s="116"/>
      <c r="P192" s="116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</row>
    <row r="193" customFormat="false" ht="16.5" hidden="false" customHeight="true" outlineLevel="0" collapsed="false">
      <c r="A193" s="71"/>
      <c r="B193" s="117" t="s">
        <v>397</v>
      </c>
      <c r="C193" s="111"/>
      <c r="D193" s="118" t="s">
        <v>398</v>
      </c>
      <c r="E193" s="113" t="s">
        <v>75</v>
      </c>
      <c r="F193" s="119" t="n">
        <v>0</v>
      </c>
      <c r="G193" s="119" t="n">
        <v>516</v>
      </c>
      <c r="H193" s="115" t="n">
        <f aca="false">IFERROR(SUM($F193:$G193),"")</f>
        <v>516</v>
      </c>
      <c r="J193" s="120" t="n">
        <v>0.05</v>
      </c>
      <c r="K193" s="121" t="n">
        <f aca="false">+$H193*J193</f>
        <v>25.8</v>
      </c>
      <c r="L193" s="122" t="n">
        <v>0.25</v>
      </c>
      <c r="M193" s="122" t="n">
        <v>1.5</v>
      </c>
      <c r="N193" s="121" t="n">
        <f aca="false">+$H193*L193</f>
        <v>129</v>
      </c>
      <c r="O193" s="121" t="n">
        <f aca="false">+$H193*M193</f>
        <v>774</v>
      </c>
      <c r="P193" s="121" t="n">
        <f aca="false">+SUM(N193:O193)</f>
        <v>903</v>
      </c>
      <c r="R193" s="109" t="n">
        <v>3.05</v>
      </c>
      <c r="S193" s="109" t="n">
        <f aca="false">+R193*$H193</f>
        <v>1573.8</v>
      </c>
      <c r="T193" s="109" t="n">
        <v>0.27</v>
      </c>
      <c r="U193" s="109" t="n">
        <f aca="false">+T193*$H193</f>
        <v>139.32</v>
      </c>
      <c r="V193" s="109" t="n">
        <f aca="false">+T193*$V$11</f>
        <v>1.35</v>
      </c>
      <c r="W193" s="109" t="n">
        <f aca="false">+V193*$H193</f>
        <v>696.6</v>
      </c>
      <c r="X193" s="109" t="n">
        <v>0.08</v>
      </c>
      <c r="Y193" s="109" t="n">
        <f aca="false">+X193*$H193</f>
        <v>41.28</v>
      </c>
      <c r="Z193" s="109" t="n">
        <v>0.23</v>
      </c>
      <c r="AA193" s="109" t="n">
        <f aca="false">+Z193*$H193</f>
        <v>118.68</v>
      </c>
      <c r="AB193" s="109"/>
      <c r="AC193" s="109" t="n">
        <f aca="false">+AB193*$H193</f>
        <v>0</v>
      </c>
      <c r="AD193" s="109" t="n">
        <f aca="false">+R193+V193+X193+Z193+AB193</f>
        <v>4.71</v>
      </c>
      <c r="AE193" s="109" t="n">
        <f aca="false">+AD193*$H193</f>
        <v>2430.36</v>
      </c>
    </row>
    <row r="194" customFormat="false" ht="16.5" hidden="false" customHeight="true" outlineLevel="0" collapsed="false">
      <c r="A194" s="71"/>
      <c r="B194" s="117" t="s">
        <v>399</v>
      </c>
      <c r="C194" s="111"/>
      <c r="D194" s="118" t="s">
        <v>400</v>
      </c>
      <c r="E194" s="113" t="s">
        <v>75</v>
      </c>
      <c r="F194" s="119" t="n">
        <v>0</v>
      </c>
      <c r="G194" s="119" t="n">
        <v>630</v>
      </c>
      <c r="H194" s="115" t="n">
        <f aca="false">IFERROR(SUM($F194:$G194),"")</f>
        <v>630</v>
      </c>
      <c r="J194" s="120" t="n">
        <v>0.055</v>
      </c>
      <c r="K194" s="121" t="n">
        <f aca="false">+$H194*J194</f>
        <v>34.65</v>
      </c>
      <c r="L194" s="122" t="n">
        <v>0.28</v>
      </c>
      <c r="M194" s="122" t="n">
        <v>2.5</v>
      </c>
      <c r="N194" s="121" t="n">
        <f aca="false">+$H194*L194</f>
        <v>176.4</v>
      </c>
      <c r="O194" s="121" t="n">
        <f aca="false">+$H194*M194</f>
        <v>1575</v>
      </c>
      <c r="P194" s="121" t="n">
        <f aca="false">+SUM(N194:O194)</f>
        <v>1751.4</v>
      </c>
      <c r="R194" s="109"/>
      <c r="S194" s="109" t="n">
        <f aca="false">+R194*$H194</f>
        <v>0</v>
      </c>
      <c r="T194" s="109"/>
      <c r="U194" s="109" t="n">
        <f aca="false">+T194*$H194</f>
        <v>0</v>
      </c>
      <c r="V194" s="109" t="n">
        <f aca="false">+T194*$V$11</f>
        <v>0</v>
      </c>
      <c r="W194" s="109" t="n">
        <f aca="false">+V194*$H194</f>
        <v>0</v>
      </c>
      <c r="X194" s="109"/>
      <c r="Y194" s="109" t="n">
        <f aca="false">+X194*$H194</f>
        <v>0</v>
      </c>
      <c r="Z194" s="109"/>
      <c r="AA194" s="109" t="n">
        <f aca="false">+Z194*$H194</f>
        <v>0</v>
      </c>
      <c r="AB194" s="109"/>
      <c r="AC194" s="109" t="n">
        <f aca="false">+AB194*$H194</f>
        <v>0</v>
      </c>
      <c r="AD194" s="109" t="n">
        <f aca="false">+R194+V194+X194+Z194+AB194</f>
        <v>0</v>
      </c>
      <c r="AE194" s="109" t="n">
        <f aca="false">+AD194*$H194</f>
        <v>0</v>
      </c>
    </row>
    <row r="195" s="215" customFormat="true" ht="16.5" hidden="false" customHeight="true" outlineLevel="0" collapsed="false">
      <c r="A195" s="208"/>
      <c r="B195" s="209" t="s">
        <v>401</v>
      </c>
      <c r="C195" s="210"/>
      <c r="D195" s="211" t="s">
        <v>402</v>
      </c>
      <c r="E195" s="212" t="s">
        <v>75</v>
      </c>
      <c r="F195" s="213" t="n">
        <v>0</v>
      </c>
      <c r="G195" s="213" t="n">
        <v>10076</v>
      </c>
      <c r="H195" s="214" t="n">
        <f aca="false">IFERROR(SUM($F195:$G195),"")</f>
        <v>10076</v>
      </c>
      <c r="J195" s="216" t="n">
        <v>0.065</v>
      </c>
      <c r="K195" s="217" t="n">
        <f aca="false">+$H195*J195</f>
        <v>654.94</v>
      </c>
      <c r="L195" s="217" t="n">
        <v>0.33</v>
      </c>
      <c r="M195" s="217" t="n">
        <v>3.83</v>
      </c>
      <c r="N195" s="217" t="n">
        <f aca="false">+$H195*L195</f>
        <v>3325.08</v>
      </c>
      <c r="O195" s="217" t="n">
        <f aca="false">+$H195*M195</f>
        <v>38591.08</v>
      </c>
      <c r="P195" s="217" t="n">
        <f aca="false">+SUM(N195:O195)</f>
        <v>41916.16</v>
      </c>
      <c r="R195" s="218" t="n">
        <v>0</v>
      </c>
      <c r="S195" s="218" t="n">
        <f aca="false">+R195*$H195</f>
        <v>0</v>
      </c>
      <c r="T195" s="218" t="n">
        <v>0.2</v>
      </c>
      <c r="U195" s="218" t="n">
        <f aca="false">+T195*$H195</f>
        <v>2015.2</v>
      </c>
      <c r="V195" s="218" t="n">
        <f aca="false">+T195*$V$11</f>
        <v>1</v>
      </c>
      <c r="W195" s="218" t="n">
        <f aca="false">+V195*$H195</f>
        <v>10076</v>
      </c>
      <c r="X195" s="218" t="n">
        <v>1</v>
      </c>
      <c r="Y195" s="218" t="n">
        <f aca="false">+X195*$H195</f>
        <v>10076</v>
      </c>
      <c r="Z195" s="218" t="n">
        <v>0.23</v>
      </c>
      <c r="AA195" s="218" t="n">
        <f aca="false">+Z195*$H195</f>
        <v>2317.48</v>
      </c>
      <c r="AB195" s="218"/>
      <c r="AC195" s="218" t="n">
        <f aca="false">+AB195*$H195</f>
        <v>0</v>
      </c>
      <c r="AD195" s="218" t="n">
        <f aca="false">+R195+V195+X195+Z195+AB195</f>
        <v>2.23</v>
      </c>
      <c r="AE195" s="218" t="n">
        <f aca="false">+AD195*$H195</f>
        <v>22469.48</v>
      </c>
    </row>
    <row r="196" customFormat="false" ht="16.5" hidden="true" customHeight="true" outlineLevel="0" collapsed="false">
      <c r="A196" s="71"/>
      <c r="B196" s="117" t="s">
        <v>403</v>
      </c>
      <c r="C196" s="111"/>
      <c r="D196" s="118" t="s">
        <v>404</v>
      </c>
      <c r="E196" s="113" t="s">
        <v>75</v>
      </c>
      <c r="F196" s="119" t="n">
        <v>0</v>
      </c>
      <c r="G196" s="119" t="n">
        <v>0</v>
      </c>
      <c r="H196" s="115" t="n">
        <f aca="false">IFERROR(SUM($F196:$G196),"")</f>
        <v>0</v>
      </c>
      <c r="J196" s="116"/>
      <c r="K196" s="116"/>
      <c r="L196" s="116"/>
      <c r="M196" s="116"/>
      <c r="N196" s="116"/>
      <c r="O196" s="116"/>
      <c r="P196" s="116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</row>
    <row r="197" customFormat="false" ht="16.5" hidden="true" customHeight="true" outlineLevel="0" collapsed="false">
      <c r="A197" s="71"/>
      <c r="B197" s="117" t="s">
        <v>405</v>
      </c>
      <c r="C197" s="111"/>
      <c r="D197" s="118" t="s">
        <v>406</v>
      </c>
      <c r="E197" s="113" t="s">
        <v>75</v>
      </c>
      <c r="F197" s="119" t="n">
        <v>0</v>
      </c>
      <c r="G197" s="119" t="n">
        <v>0</v>
      </c>
      <c r="H197" s="115" t="n">
        <f aca="false">IFERROR(SUM($F197:$G197),"")</f>
        <v>0</v>
      </c>
      <c r="J197" s="116"/>
      <c r="K197" s="116"/>
      <c r="L197" s="116"/>
      <c r="M197" s="116"/>
      <c r="N197" s="116"/>
      <c r="O197" s="116"/>
      <c r="P197" s="116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</row>
    <row r="198" customFormat="false" ht="16.5" hidden="true" customHeight="true" outlineLevel="0" collapsed="false">
      <c r="A198" s="71"/>
      <c r="B198" s="117" t="s">
        <v>407</v>
      </c>
      <c r="C198" s="111"/>
      <c r="D198" s="118" t="s">
        <v>408</v>
      </c>
      <c r="E198" s="113" t="s">
        <v>75</v>
      </c>
      <c r="F198" s="119" t="n">
        <v>0</v>
      </c>
      <c r="G198" s="119" t="n">
        <v>0</v>
      </c>
      <c r="H198" s="115" t="n">
        <f aca="false">IFERROR(SUM($F198:$G198),"")</f>
        <v>0</v>
      </c>
      <c r="J198" s="116"/>
      <c r="K198" s="116"/>
      <c r="L198" s="116"/>
      <c r="M198" s="116"/>
      <c r="N198" s="116"/>
      <c r="O198" s="116"/>
      <c r="P198" s="116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</row>
    <row r="199" customFormat="false" ht="16.5" hidden="true" customHeight="true" outlineLevel="0" collapsed="false">
      <c r="A199" s="71"/>
      <c r="B199" s="117" t="s">
        <v>409</v>
      </c>
      <c r="C199" s="111"/>
      <c r="D199" s="118" t="s">
        <v>410</v>
      </c>
      <c r="E199" s="113" t="s">
        <v>75</v>
      </c>
      <c r="F199" s="119" t="n">
        <v>0</v>
      </c>
      <c r="G199" s="119" t="n">
        <v>0</v>
      </c>
      <c r="H199" s="115" t="n">
        <f aca="false">IFERROR(SUM($F199:$G199),"")</f>
        <v>0</v>
      </c>
      <c r="J199" s="116"/>
      <c r="K199" s="116"/>
      <c r="L199" s="116"/>
      <c r="M199" s="116"/>
      <c r="N199" s="116"/>
      <c r="O199" s="116"/>
      <c r="P199" s="116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</row>
    <row r="200" customFormat="false" ht="16.5" hidden="true" customHeight="true" outlineLevel="0" collapsed="false">
      <c r="A200" s="71"/>
      <c r="B200" s="117" t="s">
        <v>411</v>
      </c>
      <c r="C200" s="111"/>
      <c r="D200" s="118" t="s">
        <v>412</v>
      </c>
      <c r="E200" s="113" t="s">
        <v>75</v>
      </c>
      <c r="F200" s="119" t="n">
        <v>0</v>
      </c>
      <c r="G200" s="119" t="n">
        <v>0</v>
      </c>
      <c r="H200" s="115" t="n">
        <f aca="false">IFERROR(SUM($F200:$G200),"")</f>
        <v>0</v>
      </c>
      <c r="J200" s="116"/>
      <c r="K200" s="116"/>
      <c r="L200" s="116"/>
      <c r="M200" s="116"/>
      <c r="N200" s="116"/>
      <c r="O200" s="116"/>
      <c r="P200" s="116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</row>
    <row r="201" customFormat="false" ht="16.5" hidden="false" customHeight="true" outlineLevel="0" collapsed="false">
      <c r="A201" s="71"/>
      <c r="B201" s="117" t="s">
        <v>413</v>
      </c>
      <c r="C201" s="111"/>
      <c r="D201" s="118" t="s">
        <v>414</v>
      </c>
      <c r="E201" s="113" t="s">
        <v>75</v>
      </c>
      <c r="F201" s="119" t="n">
        <v>0</v>
      </c>
      <c r="G201" s="119" t="n">
        <v>229</v>
      </c>
      <c r="H201" s="115" t="n">
        <f aca="false">IFERROR(SUM($F201:$G201),"")</f>
        <v>229</v>
      </c>
      <c r="J201" s="120" t="n">
        <v>0.065</v>
      </c>
      <c r="K201" s="121" t="n">
        <f aca="false">+$H201*J201</f>
        <v>14.885</v>
      </c>
      <c r="L201" s="122" t="n">
        <v>0.33</v>
      </c>
      <c r="M201" s="122" t="n">
        <v>4.5</v>
      </c>
      <c r="N201" s="121" t="n">
        <f aca="false">+$H201*L201</f>
        <v>75.57</v>
      </c>
      <c r="O201" s="121" t="n">
        <f aca="false">+$H201*M201</f>
        <v>1030.5</v>
      </c>
      <c r="P201" s="121" t="n">
        <f aca="false">+SUM(N201:O201)</f>
        <v>1106.07</v>
      </c>
      <c r="R201" s="109"/>
      <c r="S201" s="109" t="n">
        <f aca="false">+R201*$H201</f>
        <v>0</v>
      </c>
      <c r="T201" s="109"/>
      <c r="U201" s="109" t="n">
        <f aca="false">+T201*$H201</f>
        <v>0</v>
      </c>
      <c r="V201" s="109" t="n">
        <f aca="false">+T201*$V$11</f>
        <v>0</v>
      </c>
      <c r="W201" s="109" t="n">
        <f aca="false">+V201*$H201</f>
        <v>0</v>
      </c>
      <c r="X201" s="109"/>
      <c r="Y201" s="109" t="n">
        <f aca="false">+X201*$H201</f>
        <v>0</v>
      </c>
      <c r="Z201" s="109"/>
      <c r="AA201" s="109" t="n">
        <f aca="false">+Z201*$H201</f>
        <v>0</v>
      </c>
      <c r="AB201" s="109"/>
      <c r="AC201" s="109" t="n">
        <f aca="false">+AB201*$H201</f>
        <v>0</v>
      </c>
      <c r="AD201" s="109" t="n">
        <f aca="false">+R201+V201+X201+Z201+AB201</f>
        <v>0</v>
      </c>
      <c r="AE201" s="109" t="n">
        <f aca="false">+AD201*$H201</f>
        <v>0</v>
      </c>
    </row>
    <row r="202" customFormat="false" ht="16.5" hidden="true" customHeight="true" outlineLevel="0" collapsed="false">
      <c r="A202" s="71"/>
      <c r="B202" s="117" t="s">
        <v>415</v>
      </c>
      <c r="C202" s="111"/>
      <c r="D202" s="163" t="s">
        <v>416</v>
      </c>
      <c r="E202" s="113" t="s">
        <v>75</v>
      </c>
      <c r="F202" s="119" t="n">
        <v>0</v>
      </c>
      <c r="G202" s="119" t="n">
        <v>0</v>
      </c>
      <c r="H202" s="115" t="n">
        <f aca="false">IFERROR(SUM($F202:$G202),"")</f>
        <v>0</v>
      </c>
      <c r="J202" s="116"/>
      <c r="K202" s="116"/>
      <c r="L202" s="116"/>
      <c r="M202" s="116"/>
      <c r="N202" s="116"/>
      <c r="O202" s="116"/>
      <c r="P202" s="116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</row>
    <row r="203" customFormat="false" ht="16.5" hidden="true" customHeight="true" outlineLevel="0" collapsed="false">
      <c r="A203" s="71"/>
      <c r="B203" s="117" t="s">
        <v>417</v>
      </c>
      <c r="C203" s="111"/>
      <c r="D203" s="163" t="s">
        <v>418</v>
      </c>
      <c r="E203" s="113" t="s">
        <v>75</v>
      </c>
      <c r="F203" s="119" t="n">
        <v>0</v>
      </c>
      <c r="G203" s="119" t="n">
        <v>0</v>
      </c>
      <c r="H203" s="115" t="n">
        <f aca="false">IFERROR(SUM($F203:$G203),"")</f>
        <v>0</v>
      </c>
      <c r="J203" s="116"/>
      <c r="K203" s="116"/>
      <c r="L203" s="116"/>
      <c r="M203" s="116"/>
      <c r="N203" s="116"/>
      <c r="O203" s="116"/>
      <c r="P203" s="116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</row>
    <row r="204" customFormat="false" ht="16.5" hidden="true" customHeight="true" outlineLevel="0" collapsed="false">
      <c r="A204" s="71"/>
      <c r="B204" s="117" t="s">
        <v>419</v>
      </c>
      <c r="C204" s="111"/>
      <c r="D204" s="118" t="s">
        <v>420</v>
      </c>
      <c r="E204" s="113" t="s">
        <v>75</v>
      </c>
      <c r="F204" s="119" t="n">
        <v>0</v>
      </c>
      <c r="G204" s="119" t="n">
        <v>0</v>
      </c>
      <c r="H204" s="115" t="n">
        <f aca="false">IFERROR(SUM($F204:$G204),"")</f>
        <v>0</v>
      </c>
      <c r="J204" s="116"/>
      <c r="K204" s="116"/>
      <c r="L204" s="116"/>
      <c r="M204" s="116"/>
      <c r="N204" s="116"/>
      <c r="O204" s="116"/>
      <c r="P204" s="116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</row>
    <row r="205" customFormat="false" ht="16.5" hidden="true" customHeight="true" outlineLevel="0" collapsed="false">
      <c r="A205" s="71"/>
      <c r="B205" s="117" t="s">
        <v>421</v>
      </c>
      <c r="C205" s="111"/>
      <c r="D205" s="118" t="s">
        <v>422</v>
      </c>
      <c r="E205" s="113" t="s">
        <v>75</v>
      </c>
      <c r="F205" s="119" t="n">
        <v>0</v>
      </c>
      <c r="G205" s="119" t="n">
        <v>0</v>
      </c>
      <c r="H205" s="115" t="n">
        <f aca="false">IFERROR(SUM($F205:$G205),"")</f>
        <v>0</v>
      </c>
      <c r="J205" s="116"/>
      <c r="K205" s="116"/>
      <c r="L205" s="116"/>
      <c r="M205" s="116"/>
      <c r="N205" s="116"/>
      <c r="O205" s="116"/>
      <c r="P205" s="116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</row>
    <row r="206" customFormat="false" ht="16.5" hidden="true" customHeight="true" outlineLevel="0" collapsed="false">
      <c r="A206" s="71"/>
      <c r="B206" s="117" t="s">
        <v>423</v>
      </c>
      <c r="C206" s="111"/>
      <c r="D206" s="163" t="s">
        <v>424</v>
      </c>
      <c r="E206" s="113" t="s">
        <v>75</v>
      </c>
      <c r="F206" s="119" t="n">
        <v>0</v>
      </c>
      <c r="G206" s="119" t="n">
        <v>0</v>
      </c>
      <c r="H206" s="115" t="n">
        <f aca="false">IFERROR(SUM($F206:$G206),"")</f>
        <v>0</v>
      </c>
      <c r="J206" s="116"/>
      <c r="K206" s="116"/>
      <c r="L206" s="116"/>
      <c r="M206" s="116"/>
      <c r="N206" s="116"/>
      <c r="O206" s="116"/>
      <c r="P206" s="116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</row>
    <row r="207" customFormat="false" ht="16.5" hidden="true" customHeight="true" outlineLevel="0" collapsed="false">
      <c r="A207" s="71"/>
      <c r="B207" s="117" t="s">
        <v>425</v>
      </c>
      <c r="C207" s="111"/>
      <c r="D207" s="163" t="s">
        <v>426</v>
      </c>
      <c r="E207" s="113" t="s">
        <v>75</v>
      </c>
      <c r="F207" s="119" t="n">
        <v>0</v>
      </c>
      <c r="G207" s="119" t="n">
        <v>0</v>
      </c>
      <c r="H207" s="115" t="n">
        <f aca="false">IFERROR(SUM($F207:$G207),"")</f>
        <v>0</v>
      </c>
      <c r="J207" s="116"/>
      <c r="K207" s="116"/>
      <c r="L207" s="116"/>
      <c r="M207" s="116"/>
      <c r="N207" s="116"/>
      <c r="O207" s="116"/>
      <c r="P207" s="116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</row>
    <row r="208" customFormat="false" ht="16.5" hidden="true" customHeight="true" outlineLevel="0" collapsed="false">
      <c r="A208" s="71"/>
      <c r="B208" s="117" t="s">
        <v>427</v>
      </c>
      <c r="C208" s="111"/>
      <c r="D208" s="118" t="s">
        <v>428</v>
      </c>
      <c r="E208" s="113" t="s">
        <v>75</v>
      </c>
      <c r="F208" s="119" t="n">
        <v>0</v>
      </c>
      <c r="G208" s="119" t="n">
        <v>0</v>
      </c>
      <c r="H208" s="115" t="n">
        <f aca="false">IFERROR(SUM($F208:$G208),"")</f>
        <v>0</v>
      </c>
      <c r="J208" s="116"/>
      <c r="K208" s="116"/>
      <c r="L208" s="116"/>
      <c r="M208" s="116"/>
      <c r="N208" s="116"/>
      <c r="O208" s="116"/>
      <c r="P208" s="116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</row>
    <row r="209" customFormat="false" ht="16.5" hidden="true" customHeight="true" outlineLevel="0" collapsed="false">
      <c r="A209" s="71"/>
      <c r="B209" s="117" t="s">
        <v>429</v>
      </c>
      <c r="C209" s="111"/>
      <c r="D209" s="118" t="s">
        <v>430</v>
      </c>
      <c r="E209" s="113" t="s">
        <v>75</v>
      </c>
      <c r="F209" s="119" t="n">
        <v>0</v>
      </c>
      <c r="G209" s="119" t="n">
        <v>0</v>
      </c>
      <c r="H209" s="115" t="n">
        <f aca="false">IFERROR(SUM($F209:$G209),"")</f>
        <v>0</v>
      </c>
      <c r="J209" s="116"/>
      <c r="K209" s="116"/>
      <c r="L209" s="116"/>
      <c r="M209" s="116"/>
      <c r="N209" s="116"/>
      <c r="O209" s="116"/>
      <c r="P209" s="116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</row>
    <row r="210" customFormat="false" ht="16.5" hidden="true" customHeight="true" outlineLevel="0" collapsed="false">
      <c r="A210" s="71"/>
      <c r="B210" s="117" t="s">
        <v>431</v>
      </c>
      <c r="C210" s="111"/>
      <c r="D210" s="118" t="s">
        <v>432</v>
      </c>
      <c r="E210" s="113" t="s">
        <v>75</v>
      </c>
      <c r="F210" s="119" t="n">
        <v>0</v>
      </c>
      <c r="G210" s="119" t="n">
        <v>0</v>
      </c>
      <c r="H210" s="115" t="n">
        <f aca="false">IFERROR(SUM($F210:$G210),"")</f>
        <v>0</v>
      </c>
      <c r="J210" s="116"/>
      <c r="K210" s="116"/>
      <c r="L210" s="116"/>
      <c r="M210" s="116"/>
      <c r="N210" s="116"/>
      <c r="O210" s="116"/>
      <c r="P210" s="116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</row>
    <row r="211" customFormat="false" ht="16.5" hidden="false" customHeight="true" outlineLevel="0" collapsed="false">
      <c r="A211" s="71"/>
      <c r="B211" s="117" t="s">
        <v>433</v>
      </c>
      <c r="C211" s="111"/>
      <c r="D211" s="118" t="s">
        <v>434</v>
      </c>
      <c r="E211" s="113" t="s">
        <v>75</v>
      </c>
      <c r="F211" s="119" t="n">
        <v>0</v>
      </c>
      <c r="G211" s="119" t="n">
        <v>115</v>
      </c>
      <c r="H211" s="115" t="n">
        <f aca="false">IFERROR(SUM($F211:$G211),"")</f>
        <v>115</v>
      </c>
      <c r="J211" s="120" t="n">
        <v>0.1</v>
      </c>
      <c r="K211" s="121" t="n">
        <f aca="false">+$H211*J211</f>
        <v>11.5</v>
      </c>
      <c r="L211" s="122" t="n">
        <v>0.5</v>
      </c>
      <c r="M211" s="122" t="n">
        <v>8</v>
      </c>
      <c r="N211" s="121" t="n">
        <f aca="false">+$H211*L211</f>
        <v>57.5</v>
      </c>
      <c r="O211" s="121" t="n">
        <f aca="false">+$H211*M211</f>
        <v>920</v>
      </c>
      <c r="P211" s="121" t="n">
        <f aca="false">+SUM(N211:O211)</f>
        <v>977.5</v>
      </c>
      <c r="R211" s="109"/>
      <c r="S211" s="109" t="n">
        <f aca="false">+R211*$H211</f>
        <v>0</v>
      </c>
      <c r="T211" s="109"/>
      <c r="U211" s="109" t="n">
        <f aca="false">+T211*$H211</f>
        <v>0</v>
      </c>
      <c r="V211" s="109" t="n">
        <f aca="false">+T211*$V$11</f>
        <v>0</v>
      </c>
      <c r="W211" s="109" t="n">
        <f aca="false">+V211*$H211</f>
        <v>0</v>
      </c>
      <c r="X211" s="109"/>
      <c r="Y211" s="109" t="n">
        <f aca="false">+X211*$H211</f>
        <v>0</v>
      </c>
      <c r="Z211" s="109"/>
      <c r="AA211" s="109" t="n">
        <f aca="false">+Z211*$H211</f>
        <v>0</v>
      </c>
      <c r="AB211" s="109"/>
      <c r="AC211" s="109" t="n">
        <f aca="false">+AB211*$H211</f>
        <v>0</v>
      </c>
      <c r="AD211" s="109" t="n">
        <f aca="false">+R211+V211+X211+Z211+AB211</f>
        <v>0</v>
      </c>
      <c r="AE211" s="109" t="n">
        <f aca="false">+AD211*$H211</f>
        <v>0</v>
      </c>
    </row>
    <row r="212" customFormat="false" ht="16.5" hidden="true" customHeight="true" outlineLevel="0" collapsed="false">
      <c r="A212" s="71"/>
      <c r="B212" s="117" t="s">
        <v>435</v>
      </c>
      <c r="C212" s="111"/>
      <c r="D212" s="118" t="s">
        <v>436</v>
      </c>
      <c r="E212" s="113" t="s">
        <v>75</v>
      </c>
      <c r="F212" s="119" t="n">
        <v>0</v>
      </c>
      <c r="G212" s="119" t="n">
        <v>0</v>
      </c>
      <c r="H212" s="115" t="n">
        <f aca="false">IFERROR(SUM($F212:$G212),"")</f>
        <v>0</v>
      </c>
      <c r="J212" s="116"/>
      <c r="K212" s="116"/>
      <c r="L212" s="116"/>
      <c r="M212" s="116"/>
      <c r="N212" s="116"/>
      <c r="O212" s="116"/>
      <c r="P212" s="116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</row>
    <row r="213" customFormat="false" ht="16.5" hidden="false" customHeight="true" outlineLevel="0" collapsed="false">
      <c r="A213" s="71"/>
      <c r="B213" s="117" t="s">
        <v>437</v>
      </c>
      <c r="C213" s="111"/>
      <c r="D213" s="118" t="s">
        <v>438</v>
      </c>
      <c r="E213" s="113" t="s">
        <v>75</v>
      </c>
      <c r="F213" s="119" t="n">
        <v>0</v>
      </c>
      <c r="G213" s="119" t="n">
        <v>2806</v>
      </c>
      <c r="H213" s="115" t="n">
        <f aca="false">IFERROR(SUM($F213:$G213),"")</f>
        <v>2806</v>
      </c>
      <c r="J213" s="120" t="n">
        <v>0.05</v>
      </c>
      <c r="K213" s="121" t="n">
        <f aca="false">+$H213*J213</f>
        <v>140.3</v>
      </c>
      <c r="L213" s="122" t="n">
        <v>0.25</v>
      </c>
      <c r="M213" s="122" t="n">
        <v>2</v>
      </c>
      <c r="N213" s="121" t="n">
        <f aca="false">+$H213*L213</f>
        <v>701.5</v>
      </c>
      <c r="O213" s="121" t="n">
        <f aca="false">+$H213*M213</f>
        <v>5612</v>
      </c>
      <c r="P213" s="121" t="n">
        <f aca="false">+SUM(N213:O213)</f>
        <v>6313.5</v>
      </c>
      <c r="R213" s="109"/>
      <c r="S213" s="109" t="n">
        <f aca="false">+R213*$H213</f>
        <v>0</v>
      </c>
      <c r="T213" s="109"/>
      <c r="U213" s="109" t="n">
        <f aca="false">+T213*$H213</f>
        <v>0</v>
      </c>
      <c r="V213" s="109" t="n">
        <f aca="false">+T213*$V$11</f>
        <v>0</v>
      </c>
      <c r="W213" s="109" t="n">
        <f aca="false">+V213*$H213</f>
        <v>0</v>
      </c>
      <c r="X213" s="109"/>
      <c r="Y213" s="109" t="n">
        <f aca="false">+X213*$H213</f>
        <v>0</v>
      </c>
      <c r="Z213" s="109"/>
      <c r="AA213" s="109" t="n">
        <f aca="false">+Z213*$H213</f>
        <v>0</v>
      </c>
      <c r="AB213" s="109"/>
      <c r="AC213" s="109" t="n">
        <f aca="false">+AB213*$H213</f>
        <v>0</v>
      </c>
      <c r="AD213" s="109" t="n">
        <f aca="false">+R213+V213+X213+Z213+AB213</f>
        <v>0</v>
      </c>
      <c r="AE213" s="109" t="n">
        <f aca="false">+AD213*$H213</f>
        <v>0</v>
      </c>
    </row>
    <row r="214" customFormat="false" ht="16.5" hidden="false" customHeight="true" outlineLevel="0" collapsed="false">
      <c r="A214" s="102"/>
      <c r="B214" s="110" t="s">
        <v>439</v>
      </c>
      <c r="C214" s="111"/>
      <c r="D214" s="219" t="s">
        <v>440</v>
      </c>
      <c r="E214" s="113"/>
      <c r="F214" s="119" t="n">
        <v>0</v>
      </c>
      <c r="G214" s="119" t="n">
        <v>0</v>
      </c>
      <c r="H214" s="115" t="n">
        <f aca="false">IFERROR(SUM($F214:$G214),"")</f>
        <v>0</v>
      </c>
      <c r="J214" s="116"/>
      <c r="K214" s="116"/>
      <c r="L214" s="116"/>
      <c r="M214" s="116"/>
      <c r="N214" s="116"/>
      <c r="O214" s="116"/>
      <c r="P214" s="116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</row>
    <row r="215" customFormat="false" ht="16.5" hidden="true" customHeight="true" outlineLevel="0" collapsed="false">
      <c r="A215" s="102"/>
      <c r="B215" s="117" t="s">
        <v>441</v>
      </c>
      <c r="C215" s="111"/>
      <c r="D215" s="118" t="s">
        <v>442</v>
      </c>
      <c r="E215" s="113" t="s">
        <v>85</v>
      </c>
      <c r="F215" s="119" t="n">
        <v>0</v>
      </c>
      <c r="G215" s="119" t="n">
        <v>0</v>
      </c>
      <c r="H215" s="115" t="n">
        <f aca="false">IFERROR(SUM($F215:$G215),"")</f>
        <v>0</v>
      </c>
      <c r="J215" s="116"/>
      <c r="K215" s="116"/>
      <c r="L215" s="116"/>
      <c r="M215" s="116"/>
      <c r="N215" s="116"/>
      <c r="O215" s="116"/>
      <c r="P215" s="116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</row>
    <row r="216" customFormat="false" ht="16.5" hidden="true" customHeight="true" outlineLevel="0" collapsed="false">
      <c r="A216" s="102"/>
      <c r="B216" s="117" t="s">
        <v>443</v>
      </c>
      <c r="C216" s="111"/>
      <c r="D216" s="118" t="s">
        <v>444</v>
      </c>
      <c r="E216" s="113" t="s">
        <v>85</v>
      </c>
      <c r="F216" s="119" t="n">
        <v>0</v>
      </c>
      <c r="G216" s="119" t="n">
        <v>0</v>
      </c>
      <c r="H216" s="115" t="n">
        <f aca="false">IFERROR(SUM($F216:$G216),"")</f>
        <v>0</v>
      </c>
      <c r="J216" s="116"/>
      <c r="K216" s="116"/>
      <c r="L216" s="116"/>
      <c r="M216" s="116"/>
      <c r="N216" s="116"/>
      <c r="O216" s="116"/>
      <c r="P216" s="116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</row>
    <row r="217" customFormat="false" ht="16.5" hidden="true" customHeight="true" outlineLevel="0" collapsed="false">
      <c r="A217" s="102"/>
      <c r="B217" s="117" t="s">
        <v>445</v>
      </c>
      <c r="C217" s="111"/>
      <c r="D217" s="118" t="s">
        <v>446</v>
      </c>
      <c r="E217" s="113" t="s">
        <v>85</v>
      </c>
      <c r="F217" s="119" t="n">
        <v>0</v>
      </c>
      <c r="G217" s="119" t="n">
        <v>0</v>
      </c>
      <c r="H217" s="115" t="n">
        <f aca="false">IFERROR(SUM($F217:$G217),"")</f>
        <v>0</v>
      </c>
      <c r="J217" s="116"/>
      <c r="K217" s="116"/>
      <c r="L217" s="116"/>
      <c r="M217" s="116"/>
      <c r="N217" s="116"/>
      <c r="O217" s="116"/>
      <c r="P217" s="116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</row>
    <row r="218" customFormat="false" ht="16.5" hidden="true" customHeight="true" outlineLevel="0" collapsed="false">
      <c r="A218" s="102"/>
      <c r="B218" s="117" t="s">
        <v>447</v>
      </c>
      <c r="C218" s="111"/>
      <c r="D218" s="118" t="s">
        <v>448</v>
      </c>
      <c r="E218" s="113" t="s">
        <v>85</v>
      </c>
      <c r="F218" s="119" t="n">
        <v>0</v>
      </c>
      <c r="G218" s="119" t="n">
        <v>0</v>
      </c>
      <c r="H218" s="115" t="n">
        <f aca="false">IFERROR(SUM($F218:$G218),"")</f>
        <v>0</v>
      </c>
      <c r="J218" s="116"/>
      <c r="K218" s="116"/>
      <c r="L218" s="116"/>
      <c r="M218" s="116"/>
      <c r="N218" s="116"/>
      <c r="O218" s="116"/>
      <c r="P218" s="116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</row>
    <row r="219" customFormat="false" ht="16.5" hidden="true" customHeight="true" outlineLevel="0" collapsed="false">
      <c r="A219" s="102"/>
      <c r="B219" s="117" t="s">
        <v>449</v>
      </c>
      <c r="C219" s="111"/>
      <c r="D219" s="118" t="s">
        <v>450</v>
      </c>
      <c r="E219" s="113" t="s">
        <v>85</v>
      </c>
      <c r="F219" s="119" t="n">
        <v>0</v>
      </c>
      <c r="G219" s="119" t="n">
        <v>0</v>
      </c>
      <c r="H219" s="115" t="n">
        <f aca="false">IFERROR(SUM($F219:$G219),"")</f>
        <v>0</v>
      </c>
      <c r="J219" s="116"/>
      <c r="K219" s="116"/>
      <c r="L219" s="116"/>
      <c r="M219" s="116"/>
      <c r="N219" s="116"/>
      <c r="O219" s="116"/>
      <c r="P219" s="116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</row>
    <row r="220" customFormat="false" ht="16.5" hidden="false" customHeight="true" outlineLevel="0" collapsed="false">
      <c r="A220" s="102"/>
      <c r="B220" s="117" t="s">
        <v>451</v>
      </c>
      <c r="C220" s="111"/>
      <c r="D220" s="118" t="s">
        <v>452</v>
      </c>
      <c r="E220" s="113" t="s">
        <v>85</v>
      </c>
      <c r="F220" s="119" t="n">
        <v>0</v>
      </c>
      <c r="G220" s="119" t="n">
        <v>5</v>
      </c>
      <c r="H220" s="115" t="n">
        <f aca="false">IFERROR(SUM($F220:$G220),"")</f>
        <v>5</v>
      </c>
      <c r="J220" s="120" t="n">
        <v>4.8</v>
      </c>
      <c r="K220" s="121" t="n">
        <f aca="false">+$H220*J220</f>
        <v>24</v>
      </c>
      <c r="L220" s="122" t="n">
        <v>24</v>
      </c>
      <c r="M220" s="122" t="n">
        <v>35</v>
      </c>
      <c r="N220" s="121" t="n">
        <f aca="false">+$H220*L220</f>
        <v>120</v>
      </c>
      <c r="O220" s="121" t="n">
        <f aca="false">+$H220*M220</f>
        <v>175</v>
      </c>
      <c r="P220" s="121" t="n">
        <f aca="false">+SUM(N220:O220)</f>
        <v>295</v>
      </c>
      <c r="R220" s="109"/>
      <c r="S220" s="109" t="n">
        <f aca="false">+R220*$H220</f>
        <v>0</v>
      </c>
      <c r="T220" s="109"/>
      <c r="U220" s="109" t="n">
        <f aca="false">+T220*$H220</f>
        <v>0</v>
      </c>
      <c r="V220" s="109" t="n">
        <f aca="false">+T220*$V$11</f>
        <v>0</v>
      </c>
      <c r="W220" s="109" t="n">
        <f aca="false">+V220*$H220</f>
        <v>0</v>
      </c>
      <c r="X220" s="109"/>
      <c r="Y220" s="109" t="n">
        <f aca="false">+X220*$H220</f>
        <v>0</v>
      </c>
      <c r="Z220" s="109"/>
      <c r="AA220" s="109" t="n">
        <f aca="false">+Z220*$H220</f>
        <v>0</v>
      </c>
      <c r="AB220" s="109"/>
      <c r="AC220" s="109" t="n">
        <f aca="false">+AB220*$H220</f>
        <v>0</v>
      </c>
      <c r="AD220" s="109" t="n">
        <f aca="false">+R220+V220+X220+Z220+AB220</f>
        <v>0</v>
      </c>
      <c r="AE220" s="109" t="n">
        <f aca="false">+AD220*$H220</f>
        <v>0</v>
      </c>
    </row>
    <row r="221" customFormat="false" ht="16.5" hidden="true" customHeight="true" outlineLevel="0" collapsed="false">
      <c r="A221" s="102"/>
      <c r="B221" s="117" t="s">
        <v>453</v>
      </c>
      <c r="C221" s="111"/>
      <c r="D221" s="118" t="s">
        <v>454</v>
      </c>
      <c r="E221" s="113" t="s">
        <v>85</v>
      </c>
      <c r="F221" s="119" t="n">
        <v>0</v>
      </c>
      <c r="G221" s="119" t="n">
        <v>0</v>
      </c>
      <c r="H221" s="115" t="n">
        <f aca="false">IFERROR(SUM($F221:$G221),"")</f>
        <v>0</v>
      </c>
      <c r="J221" s="116"/>
      <c r="K221" s="116"/>
      <c r="L221" s="116"/>
      <c r="M221" s="116"/>
      <c r="N221" s="116"/>
      <c r="O221" s="116"/>
      <c r="P221" s="116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</row>
    <row r="222" customFormat="false" ht="16.5" hidden="false" customHeight="true" outlineLevel="0" collapsed="false">
      <c r="A222" s="102"/>
      <c r="B222" s="117" t="s">
        <v>455</v>
      </c>
      <c r="C222" s="111"/>
      <c r="D222" s="118" t="s">
        <v>456</v>
      </c>
      <c r="E222" s="113" t="s">
        <v>85</v>
      </c>
      <c r="F222" s="119" t="n">
        <v>0</v>
      </c>
      <c r="G222" s="119" t="n">
        <v>40</v>
      </c>
      <c r="H222" s="115" t="n">
        <f aca="false">IFERROR(SUM($F222:$G222),"")</f>
        <v>40</v>
      </c>
      <c r="J222" s="120" t="n">
        <v>4</v>
      </c>
      <c r="K222" s="121" t="n">
        <f aca="false">+$H222*J222</f>
        <v>160</v>
      </c>
      <c r="L222" s="122" t="n">
        <v>20</v>
      </c>
      <c r="M222" s="122" t="n">
        <v>28</v>
      </c>
      <c r="N222" s="121" t="n">
        <f aca="false">+$H222*L222</f>
        <v>800</v>
      </c>
      <c r="O222" s="121" t="n">
        <f aca="false">+$H222*M222</f>
        <v>1120</v>
      </c>
      <c r="P222" s="121" t="n">
        <f aca="false">+SUM(N222:O222)</f>
        <v>1920</v>
      </c>
      <c r="R222" s="109"/>
      <c r="S222" s="109" t="n">
        <f aca="false">+R222*$H222</f>
        <v>0</v>
      </c>
      <c r="T222" s="109"/>
      <c r="U222" s="109" t="n">
        <f aca="false">+T222*$H222</f>
        <v>0</v>
      </c>
      <c r="V222" s="109" t="n">
        <f aca="false">+T222*$V$11</f>
        <v>0</v>
      </c>
      <c r="W222" s="109" t="n">
        <f aca="false">+V222*$H222</f>
        <v>0</v>
      </c>
      <c r="X222" s="109"/>
      <c r="Y222" s="109" t="n">
        <f aca="false">+X222*$H222</f>
        <v>0</v>
      </c>
      <c r="Z222" s="109"/>
      <c r="AA222" s="109" t="n">
        <f aca="false">+Z222*$H222</f>
        <v>0</v>
      </c>
      <c r="AB222" s="109"/>
      <c r="AC222" s="109" t="n">
        <f aca="false">+AB222*$H222</f>
        <v>0</v>
      </c>
      <c r="AD222" s="109" t="n">
        <f aca="false">+R222+V222+X222+Z222+AB222</f>
        <v>0</v>
      </c>
      <c r="AE222" s="109" t="n">
        <f aca="false">+AD222*$H222</f>
        <v>0</v>
      </c>
    </row>
    <row r="223" customFormat="false" ht="16.5" hidden="true" customHeight="true" outlineLevel="0" collapsed="false">
      <c r="A223" s="102"/>
      <c r="B223" s="117" t="s">
        <v>457</v>
      </c>
      <c r="C223" s="111"/>
      <c r="D223" s="118" t="s">
        <v>458</v>
      </c>
      <c r="E223" s="113" t="s">
        <v>85</v>
      </c>
      <c r="F223" s="119" t="n">
        <v>0</v>
      </c>
      <c r="G223" s="119" t="n">
        <v>0</v>
      </c>
      <c r="H223" s="115" t="n">
        <f aca="false">IFERROR(SUM($F223:$G223),"")</f>
        <v>0</v>
      </c>
      <c r="J223" s="116"/>
      <c r="K223" s="116"/>
      <c r="L223" s="116"/>
      <c r="M223" s="116"/>
      <c r="N223" s="116"/>
      <c r="O223" s="116"/>
      <c r="P223" s="116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</row>
    <row r="224" customFormat="false" ht="16.5" hidden="true" customHeight="true" outlineLevel="0" collapsed="false">
      <c r="A224" s="102"/>
      <c r="B224" s="117" t="s">
        <v>459</v>
      </c>
      <c r="C224" s="111"/>
      <c r="D224" s="118" t="s">
        <v>460</v>
      </c>
      <c r="E224" s="113" t="s">
        <v>85</v>
      </c>
      <c r="F224" s="119" t="n">
        <v>0</v>
      </c>
      <c r="G224" s="119" t="n">
        <v>0</v>
      </c>
      <c r="H224" s="115" t="n">
        <f aca="false">IFERROR(SUM($F224:$G224),"")</f>
        <v>0</v>
      </c>
      <c r="J224" s="116"/>
      <c r="K224" s="116"/>
      <c r="L224" s="116"/>
      <c r="M224" s="116"/>
      <c r="N224" s="116"/>
      <c r="O224" s="116"/>
      <c r="P224" s="116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</row>
    <row r="225" customFormat="false" ht="16.5" hidden="false" customHeight="true" outlineLevel="0" collapsed="false">
      <c r="A225" s="102"/>
      <c r="B225" s="117" t="s">
        <v>461</v>
      </c>
      <c r="C225" s="111"/>
      <c r="D225" s="118" t="s">
        <v>462</v>
      </c>
      <c r="E225" s="113" t="s">
        <v>85</v>
      </c>
      <c r="F225" s="119" t="n">
        <v>0</v>
      </c>
      <c r="G225" s="119" t="n">
        <v>7</v>
      </c>
      <c r="H225" s="115" t="n">
        <f aca="false">IFERROR(SUM($F225:$G225),"")</f>
        <v>7</v>
      </c>
      <c r="J225" s="120" t="n">
        <v>5.6</v>
      </c>
      <c r="K225" s="121" t="n">
        <f aca="false">+$H225*J225</f>
        <v>39.2</v>
      </c>
      <c r="L225" s="122" t="n">
        <v>28</v>
      </c>
      <c r="M225" s="122" t="n">
        <v>45</v>
      </c>
      <c r="N225" s="121" t="n">
        <f aca="false">+$H225*L225</f>
        <v>196</v>
      </c>
      <c r="O225" s="121" t="n">
        <f aca="false">+$H225*M225</f>
        <v>315</v>
      </c>
      <c r="P225" s="121" t="n">
        <f aca="false">+SUM(N225:O225)</f>
        <v>511</v>
      </c>
      <c r="R225" s="109"/>
      <c r="S225" s="109" t="n">
        <f aca="false">+R225*$H225</f>
        <v>0</v>
      </c>
      <c r="T225" s="109"/>
      <c r="U225" s="109" t="n">
        <f aca="false">+T225*$H225</f>
        <v>0</v>
      </c>
      <c r="V225" s="109" t="n">
        <f aca="false">+T225*$V$11</f>
        <v>0</v>
      </c>
      <c r="W225" s="109" t="n">
        <f aca="false">+V225*$H225</f>
        <v>0</v>
      </c>
      <c r="X225" s="109"/>
      <c r="Y225" s="109" t="n">
        <f aca="false">+X225*$H225</f>
        <v>0</v>
      </c>
      <c r="Z225" s="109"/>
      <c r="AA225" s="109" t="n">
        <f aca="false">+Z225*$H225</f>
        <v>0</v>
      </c>
      <c r="AB225" s="109"/>
      <c r="AC225" s="109" t="n">
        <f aca="false">+AB225*$H225</f>
        <v>0</v>
      </c>
      <c r="AD225" s="109" t="n">
        <f aca="false">+R225+V225+X225+Z225+AB225</f>
        <v>0</v>
      </c>
      <c r="AE225" s="109" t="n">
        <f aca="false">+AD225*$H225</f>
        <v>0</v>
      </c>
    </row>
    <row r="226" customFormat="false" ht="16.5" hidden="true" customHeight="true" outlineLevel="0" collapsed="false">
      <c r="A226" s="102"/>
      <c r="B226" s="117" t="s">
        <v>463</v>
      </c>
      <c r="C226" s="111"/>
      <c r="D226" s="118" t="s">
        <v>464</v>
      </c>
      <c r="E226" s="113" t="s">
        <v>85</v>
      </c>
      <c r="F226" s="119" t="n">
        <v>0</v>
      </c>
      <c r="G226" s="119" t="n">
        <v>0</v>
      </c>
      <c r="H226" s="115" t="n">
        <f aca="false">IFERROR(SUM($F226:$G226),"")</f>
        <v>0</v>
      </c>
      <c r="J226" s="116"/>
      <c r="K226" s="116"/>
      <c r="L226" s="116"/>
      <c r="M226" s="116"/>
      <c r="N226" s="116"/>
      <c r="O226" s="116"/>
      <c r="P226" s="116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</row>
    <row r="227" customFormat="false" ht="16.5" hidden="true" customHeight="true" outlineLevel="0" collapsed="false">
      <c r="A227" s="102"/>
      <c r="B227" s="117" t="s">
        <v>465</v>
      </c>
      <c r="C227" s="111"/>
      <c r="D227" s="118" t="s">
        <v>466</v>
      </c>
      <c r="E227" s="113" t="s">
        <v>85</v>
      </c>
      <c r="F227" s="119" t="n">
        <v>0</v>
      </c>
      <c r="G227" s="119" t="n">
        <v>0</v>
      </c>
      <c r="H227" s="115" t="n">
        <f aca="false">IFERROR(SUM($F227:$G227),"")</f>
        <v>0</v>
      </c>
      <c r="J227" s="116"/>
      <c r="K227" s="116"/>
      <c r="L227" s="116"/>
      <c r="M227" s="116"/>
      <c r="N227" s="116"/>
      <c r="O227" s="116"/>
      <c r="P227" s="116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</row>
    <row r="228" customFormat="false" ht="16.5" hidden="true" customHeight="true" outlineLevel="0" collapsed="false">
      <c r="A228" s="102"/>
      <c r="B228" s="117" t="s">
        <v>467</v>
      </c>
      <c r="C228" s="111"/>
      <c r="D228" s="118" t="s">
        <v>468</v>
      </c>
      <c r="E228" s="113" t="s">
        <v>85</v>
      </c>
      <c r="F228" s="119" t="n">
        <v>0</v>
      </c>
      <c r="G228" s="119" t="n">
        <v>0</v>
      </c>
      <c r="H228" s="115" t="n">
        <f aca="false">IFERROR(SUM($F228:$G228),"")</f>
        <v>0</v>
      </c>
      <c r="J228" s="116"/>
      <c r="K228" s="116"/>
      <c r="L228" s="116"/>
      <c r="M228" s="116"/>
      <c r="N228" s="116"/>
      <c r="O228" s="116"/>
      <c r="P228" s="116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</row>
    <row r="229" customFormat="false" ht="16.5" hidden="true" customHeight="true" outlineLevel="0" collapsed="false">
      <c r="A229" s="102"/>
      <c r="B229" s="117" t="s">
        <v>469</v>
      </c>
      <c r="C229" s="111"/>
      <c r="D229" s="118" t="s">
        <v>470</v>
      </c>
      <c r="E229" s="113" t="s">
        <v>85</v>
      </c>
      <c r="F229" s="119" t="n">
        <v>0</v>
      </c>
      <c r="G229" s="119" t="n">
        <v>0</v>
      </c>
      <c r="H229" s="115" t="n">
        <f aca="false">IFERROR(SUM($F229:$G229),"")</f>
        <v>0</v>
      </c>
      <c r="J229" s="116"/>
      <c r="K229" s="116"/>
      <c r="L229" s="116"/>
      <c r="M229" s="116"/>
      <c r="N229" s="116"/>
      <c r="O229" s="116"/>
      <c r="P229" s="116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</row>
    <row r="230" s="158" customFormat="true" ht="16.5" hidden="false" customHeight="true" outlineLevel="0" collapsed="false">
      <c r="A230" s="220"/>
      <c r="B230" s="152" t="s">
        <v>471</v>
      </c>
      <c r="C230" s="153"/>
      <c r="D230" s="154" t="s">
        <v>472</v>
      </c>
      <c r="E230" s="155" t="s">
        <v>85</v>
      </c>
      <c r="F230" s="156" t="n">
        <v>0</v>
      </c>
      <c r="G230" s="156" t="n">
        <v>10</v>
      </c>
      <c r="H230" s="157" t="n">
        <f aca="false">IFERROR(SUM($F230:$G230),"")</f>
        <v>10</v>
      </c>
      <c r="J230" s="159" t="n">
        <v>0.65</v>
      </c>
      <c r="K230" s="160" t="n">
        <f aca="false">+$H230*J230</f>
        <v>6.5</v>
      </c>
      <c r="L230" s="160" t="n">
        <v>3.25</v>
      </c>
      <c r="M230" s="160" t="n">
        <v>2</v>
      </c>
      <c r="N230" s="160" t="n">
        <f aca="false">+$H230*L230</f>
        <v>32.5</v>
      </c>
      <c r="O230" s="160" t="n">
        <f aca="false">+$H230*M230</f>
        <v>20</v>
      </c>
      <c r="P230" s="160" t="n">
        <f aca="false">+SUM(N230:O230)</f>
        <v>52.5</v>
      </c>
      <c r="R230" s="161" t="n">
        <v>0</v>
      </c>
      <c r="S230" s="161" t="n">
        <f aca="false">+R230*$H230</f>
        <v>0</v>
      </c>
      <c r="T230" s="161" t="n">
        <v>0.51</v>
      </c>
      <c r="U230" s="161" t="n">
        <f aca="false">+T230*$H230</f>
        <v>5.1</v>
      </c>
      <c r="V230" s="161" t="n">
        <f aca="false">+T230*$V$11</f>
        <v>2.55</v>
      </c>
      <c r="W230" s="161" t="n">
        <f aca="false">+V230*$H230</f>
        <v>25.5</v>
      </c>
      <c r="X230" s="161" t="n">
        <v>0.1</v>
      </c>
      <c r="Y230" s="161" t="n">
        <f aca="false">+X230*$H230</f>
        <v>1</v>
      </c>
      <c r="Z230" s="161" t="n">
        <v>0.29</v>
      </c>
      <c r="AA230" s="161" t="n">
        <f aca="false">+Z230*$H230</f>
        <v>2.9</v>
      </c>
      <c r="AB230" s="161"/>
      <c r="AC230" s="161" t="n">
        <f aca="false">+AB230*$H230</f>
        <v>0</v>
      </c>
      <c r="AD230" s="161" t="n">
        <f aca="false">+R230+V230+X230+Z230+AB230</f>
        <v>2.94</v>
      </c>
      <c r="AE230" s="161" t="n">
        <f aca="false">+AD230*$H230</f>
        <v>29.4</v>
      </c>
    </row>
    <row r="231" customFormat="false" ht="16.5" hidden="true" customHeight="true" outlineLevel="0" collapsed="false">
      <c r="A231" s="102"/>
      <c r="B231" s="162" t="s">
        <v>473</v>
      </c>
      <c r="C231" s="111"/>
      <c r="D231" s="163" t="s">
        <v>474</v>
      </c>
      <c r="E231" s="113" t="s">
        <v>85</v>
      </c>
      <c r="F231" s="119" t="n">
        <v>0</v>
      </c>
      <c r="G231" s="119" t="n">
        <v>0</v>
      </c>
      <c r="H231" s="115" t="n">
        <f aca="false">IFERROR(SUM($F231:$G231),"")</f>
        <v>0</v>
      </c>
      <c r="J231" s="116"/>
      <c r="K231" s="116"/>
      <c r="L231" s="116"/>
      <c r="M231" s="116"/>
      <c r="N231" s="116"/>
      <c r="O231" s="116"/>
      <c r="P231" s="116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</row>
    <row r="232" s="171" customFormat="true" ht="16.5" hidden="false" customHeight="true" outlineLevel="0" collapsed="false">
      <c r="A232" s="221"/>
      <c r="B232" s="222" t="s">
        <v>475</v>
      </c>
      <c r="C232" s="223"/>
      <c r="D232" s="224" t="s">
        <v>476</v>
      </c>
      <c r="E232" s="225" t="s">
        <v>85</v>
      </c>
      <c r="F232" s="226" t="n">
        <v>0</v>
      </c>
      <c r="G232" s="226" t="n">
        <v>115</v>
      </c>
      <c r="H232" s="227" t="n">
        <f aca="false">IFERROR(SUM($F232:$G232),"")</f>
        <v>115</v>
      </c>
      <c r="J232" s="172" t="n">
        <v>0.8</v>
      </c>
      <c r="K232" s="173" t="n">
        <f aca="false">+$H232*J232</f>
        <v>92</v>
      </c>
      <c r="L232" s="173" t="n">
        <v>4</v>
      </c>
      <c r="M232" s="173" t="n">
        <v>3</v>
      </c>
      <c r="N232" s="173" t="n">
        <f aca="false">+$H232*L232</f>
        <v>460</v>
      </c>
      <c r="O232" s="173" t="n">
        <f aca="false">+$H232*M232</f>
        <v>345</v>
      </c>
      <c r="P232" s="173" t="n">
        <f aca="false">+SUM(N232:O232)</f>
        <v>805</v>
      </c>
      <c r="R232" s="174" t="n">
        <v>0</v>
      </c>
      <c r="S232" s="174" t="n">
        <f aca="false">+R232*$H232</f>
        <v>0</v>
      </c>
      <c r="T232" s="174" t="n">
        <v>0.65</v>
      </c>
      <c r="U232" s="174" t="n">
        <f aca="false">+T232*$H232</f>
        <v>74.75</v>
      </c>
      <c r="V232" s="174" t="n">
        <f aca="false">+T232*$V$11</f>
        <v>3.25</v>
      </c>
      <c r="W232" s="174" t="n">
        <f aca="false">+V232*$H232</f>
        <v>373.75</v>
      </c>
      <c r="X232" s="174" t="n">
        <v>0.14</v>
      </c>
      <c r="Y232" s="174" t="n">
        <f aca="false">+X232*$H232</f>
        <v>16.1</v>
      </c>
      <c r="Z232" s="174" t="n">
        <v>0.37</v>
      </c>
      <c r="AA232" s="174" t="n">
        <f aca="false">+Z232*$H232</f>
        <v>42.55</v>
      </c>
      <c r="AB232" s="174"/>
      <c r="AC232" s="174" t="n">
        <f aca="false">+AB232*$H232</f>
        <v>0</v>
      </c>
      <c r="AD232" s="174" t="n">
        <f aca="false">+R232+V232+X232+Z232+AB232</f>
        <v>3.76</v>
      </c>
      <c r="AE232" s="174" t="n">
        <f aca="false">+AD232*$H232</f>
        <v>432.4</v>
      </c>
    </row>
    <row r="233" s="182" customFormat="true" ht="16.5" hidden="false" customHeight="true" outlineLevel="0" collapsed="false">
      <c r="A233" s="228"/>
      <c r="B233" s="176" t="s">
        <v>477</v>
      </c>
      <c r="C233" s="177"/>
      <c r="D233" s="178" t="s">
        <v>478</v>
      </c>
      <c r="E233" s="179" t="s">
        <v>85</v>
      </c>
      <c r="F233" s="180" t="n">
        <v>0</v>
      </c>
      <c r="G233" s="180" t="n">
        <v>5</v>
      </c>
      <c r="H233" s="181" t="n">
        <f aca="false">IFERROR(SUM($F233:$G233),"")</f>
        <v>5</v>
      </c>
      <c r="J233" s="183" t="n">
        <v>0.8</v>
      </c>
      <c r="K233" s="184" t="n">
        <f aca="false">+$H233*J233</f>
        <v>4</v>
      </c>
      <c r="L233" s="184" t="n">
        <v>4</v>
      </c>
      <c r="M233" s="184" t="n">
        <v>3.5</v>
      </c>
      <c r="N233" s="184" t="n">
        <f aca="false">+$H233*L233</f>
        <v>20</v>
      </c>
      <c r="O233" s="184" t="n">
        <f aca="false">+$H233*M233</f>
        <v>17.5</v>
      </c>
      <c r="P233" s="184" t="n">
        <f aca="false">+SUM(N233:O233)</f>
        <v>37.5</v>
      </c>
      <c r="R233" s="185"/>
      <c r="S233" s="185" t="n">
        <f aca="false">+R233*$H233</f>
        <v>0</v>
      </c>
      <c r="T233" s="185" t="n">
        <v>0.65</v>
      </c>
      <c r="U233" s="185" t="n">
        <f aca="false">+T233*$H233</f>
        <v>3.25</v>
      </c>
      <c r="V233" s="185" t="n">
        <f aca="false">+T233*$V$11</f>
        <v>3.25</v>
      </c>
      <c r="W233" s="185" t="n">
        <f aca="false">+V233*$H233</f>
        <v>16.25</v>
      </c>
      <c r="X233" s="185" t="n">
        <v>0.14</v>
      </c>
      <c r="Y233" s="185" t="n">
        <f aca="false">+X233*$H233</f>
        <v>0.7</v>
      </c>
      <c r="Z233" s="185" t="n">
        <v>0.37</v>
      </c>
      <c r="AA233" s="185" t="n">
        <f aca="false">+Z233*$H233</f>
        <v>1.85</v>
      </c>
      <c r="AB233" s="185"/>
      <c r="AC233" s="185" t="n">
        <f aca="false">+AB233*$H233</f>
        <v>0</v>
      </c>
      <c r="AD233" s="185" t="n">
        <f aca="false">+R233+V233+X233+Z233+AB233</f>
        <v>3.76</v>
      </c>
      <c r="AE233" s="185" t="n">
        <f aca="false">+AD233*$H233</f>
        <v>18.8</v>
      </c>
    </row>
    <row r="234" s="193" customFormat="true" ht="16.5" hidden="false" customHeight="true" outlineLevel="0" collapsed="false">
      <c r="A234" s="229"/>
      <c r="B234" s="187" t="s">
        <v>479</v>
      </c>
      <c r="C234" s="188"/>
      <c r="D234" s="189" t="s">
        <v>480</v>
      </c>
      <c r="E234" s="190" t="s">
        <v>85</v>
      </c>
      <c r="F234" s="191" t="n">
        <v>0</v>
      </c>
      <c r="G234" s="191" t="n">
        <v>51</v>
      </c>
      <c r="H234" s="192" t="n">
        <f aca="false">IFERROR(SUM($F234:$G234),"")</f>
        <v>51</v>
      </c>
      <c r="J234" s="194" t="n">
        <v>1</v>
      </c>
      <c r="K234" s="195" t="n">
        <f aca="false">+$H234*J234</f>
        <v>51</v>
      </c>
      <c r="L234" s="195" t="n">
        <v>5</v>
      </c>
      <c r="M234" s="195" t="n">
        <v>4</v>
      </c>
      <c r="N234" s="195" t="n">
        <f aca="false">+$H234*L234</f>
        <v>255</v>
      </c>
      <c r="O234" s="195" t="n">
        <f aca="false">+$H234*M234</f>
        <v>204</v>
      </c>
      <c r="P234" s="195" t="n">
        <f aca="false">+SUM(N234:O234)</f>
        <v>459</v>
      </c>
      <c r="R234" s="196"/>
      <c r="S234" s="196" t="n">
        <f aca="false">+R234*$H234</f>
        <v>0</v>
      </c>
      <c r="T234" s="196" t="n">
        <v>0.65</v>
      </c>
      <c r="U234" s="196" t="n">
        <f aca="false">+T234*$H234</f>
        <v>33.15</v>
      </c>
      <c r="V234" s="196" t="n">
        <f aca="false">+T234*$V$11</f>
        <v>3.25</v>
      </c>
      <c r="W234" s="196" t="n">
        <f aca="false">+V234*$H234</f>
        <v>165.75</v>
      </c>
      <c r="X234" s="196" t="n">
        <v>0.14</v>
      </c>
      <c r="Y234" s="196" t="n">
        <f aca="false">+X234*$H234</f>
        <v>7.14</v>
      </c>
      <c r="Z234" s="196" t="n">
        <v>0.37</v>
      </c>
      <c r="AA234" s="196" t="n">
        <f aca="false">+Z234*$H234</f>
        <v>18.87</v>
      </c>
      <c r="AB234" s="196"/>
      <c r="AC234" s="196" t="n">
        <f aca="false">+AB234*$H234</f>
        <v>0</v>
      </c>
      <c r="AD234" s="196" t="n">
        <f aca="false">+R234+V234+X234+Z234+AB234</f>
        <v>3.76</v>
      </c>
      <c r="AE234" s="196" t="n">
        <f aca="false">+AD234*$H234</f>
        <v>191.76</v>
      </c>
    </row>
    <row r="235" s="204" customFormat="true" ht="16.5" hidden="false" customHeight="true" outlineLevel="0" collapsed="false">
      <c r="A235" s="230"/>
      <c r="B235" s="198" t="s">
        <v>481</v>
      </c>
      <c r="C235" s="199"/>
      <c r="D235" s="200" t="s">
        <v>482</v>
      </c>
      <c r="E235" s="201" t="s">
        <v>85</v>
      </c>
      <c r="F235" s="202" t="n">
        <v>0</v>
      </c>
      <c r="G235" s="202" t="n">
        <v>3</v>
      </c>
      <c r="H235" s="203" t="n">
        <f aca="false">IFERROR(SUM($F235:$G235),"")</f>
        <v>3</v>
      </c>
      <c r="J235" s="205" t="n">
        <v>1.2</v>
      </c>
      <c r="K235" s="206" t="n">
        <f aca="false">+$H235*J235</f>
        <v>3.6</v>
      </c>
      <c r="L235" s="206" t="n">
        <v>6</v>
      </c>
      <c r="M235" s="206" t="n">
        <v>5</v>
      </c>
      <c r="N235" s="206" t="n">
        <f aca="false">+$H235*L235</f>
        <v>18</v>
      </c>
      <c r="O235" s="206" t="n">
        <f aca="false">+$H235*M235</f>
        <v>15</v>
      </c>
      <c r="P235" s="206" t="n">
        <f aca="false">+SUM(N235:O235)</f>
        <v>33</v>
      </c>
      <c r="R235" s="207"/>
      <c r="S235" s="207" t="n">
        <f aca="false">+R235*$H235</f>
        <v>0</v>
      </c>
      <c r="T235" s="207" t="n">
        <v>0.75</v>
      </c>
      <c r="U235" s="207" t="n">
        <f aca="false">+T235*$H235</f>
        <v>2.25</v>
      </c>
      <c r="V235" s="207" t="n">
        <f aca="false">+T235*$V$11</f>
        <v>3.75</v>
      </c>
      <c r="W235" s="207" t="n">
        <f aca="false">+V235*$H235</f>
        <v>11.25</v>
      </c>
      <c r="X235" s="207" t="n">
        <v>0.16</v>
      </c>
      <c r="Y235" s="207" t="n">
        <f aca="false">+X235*$H235</f>
        <v>0.48</v>
      </c>
      <c r="Z235" s="207" t="n">
        <v>0.43</v>
      </c>
      <c r="AA235" s="207" t="n">
        <f aca="false">+Z235*$H235</f>
        <v>1.29</v>
      </c>
      <c r="AB235" s="207"/>
      <c r="AC235" s="207" t="n">
        <f aca="false">+AB235*$H235</f>
        <v>0</v>
      </c>
      <c r="AD235" s="207" t="n">
        <f aca="false">+R235+V235+X235+Z235+AB235</f>
        <v>4.34</v>
      </c>
      <c r="AE235" s="207" t="n">
        <f aca="false">+AD235*$H235</f>
        <v>13.02</v>
      </c>
    </row>
    <row r="236" customFormat="false" ht="16.5" hidden="false" customHeight="true" outlineLevel="0" collapsed="false">
      <c r="A236" s="102"/>
      <c r="B236" s="117" t="s">
        <v>483</v>
      </c>
      <c r="C236" s="111"/>
      <c r="D236" s="118" t="s">
        <v>484</v>
      </c>
      <c r="E236" s="113" t="s">
        <v>85</v>
      </c>
      <c r="F236" s="119" t="n">
        <v>0</v>
      </c>
      <c r="G236" s="119" t="n">
        <v>5</v>
      </c>
      <c r="H236" s="115" t="n">
        <f aca="false">IFERROR(SUM($F236:$G236),"")</f>
        <v>5</v>
      </c>
      <c r="J236" s="120" t="n">
        <v>1.45</v>
      </c>
      <c r="K236" s="121" t="n">
        <f aca="false">+$H236*J236</f>
        <v>7.25</v>
      </c>
      <c r="L236" s="122" t="n">
        <v>7.25</v>
      </c>
      <c r="M236" s="122" t="n">
        <v>6</v>
      </c>
      <c r="N236" s="121" t="n">
        <f aca="false">+$H236*L236</f>
        <v>36.25</v>
      </c>
      <c r="O236" s="121" t="n">
        <f aca="false">+$H236*M236</f>
        <v>30</v>
      </c>
      <c r="P236" s="121" t="n">
        <f aca="false">+SUM(N236:O236)</f>
        <v>66.25</v>
      </c>
      <c r="R236" s="109"/>
      <c r="S236" s="109" t="n">
        <f aca="false">+R236*$H236</f>
        <v>0</v>
      </c>
      <c r="T236" s="109"/>
      <c r="U236" s="109" t="n">
        <f aca="false">+T236*$H236</f>
        <v>0</v>
      </c>
      <c r="V236" s="109" t="n">
        <f aca="false">+T236*$V$11</f>
        <v>0</v>
      </c>
      <c r="W236" s="109" t="n">
        <f aca="false">+V236*$H236</f>
        <v>0</v>
      </c>
      <c r="X236" s="109"/>
      <c r="Y236" s="109" t="n">
        <f aca="false">+X236*$H236</f>
        <v>0</v>
      </c>
      <c r="Z236" s="109"/>
      <c r="AA236" s="109" t="n">
        <f aca="false">+Z236*$H236</f>
        <v>0</v>
      </c>
      <c r="AB236" s="109"/>
      <c r="AC236" s="109" t="n">
        <f aca="false">+AB236*$H236</f>
        <v>0</v>
      </c>
      <c r="AD236" s="109" t="n">
        <f aca="false">+R236+V236+X236+Z236+AB236</f>
        <v>0</v>
      </c>
      <c r="AE236" s="109" t="n">
        <f aca="false">+AD236*$H236</f>
        <v>0</v>
      </c>
    </row>
    <row r="237" customFormat="false" ht="16.5" hidden="false" customHeight="true" outlineLevel="0" collapsed="false">
      <c r="A237" s="102"/>
      <c r="B237" s="117" t="s">
        <v>485</v>
      </c>
      <c r="C237" s="111"/>
      <c r="D237" s="118" t="s">
        <v>486</v>
      </c>
      <c r="E237" s="113" t="s">
        <v>85</v>
      </c>
      <c r="F237" s="119" t="n">
        <v>0</v>
      </c>
      <c r="G237" s="119" t="n">
        <v>5</v>
      </c>
      <c r="H237" s="115" t="n">
        <f aca="false">IFERROR(SUM($F237:$G237),"")</f>
        <v>5</v>
      </c>
      <c r="J237" s="120" t="n">
        <v>1.6</v>
      </c>
      <c r="K237" s="121" t="n">
        <f aca="false">+$H237*J237</f>
        <v>8</v>
      </c>
      <c r="L237" s="122" t="n">
        <v>8</v>
      </c>
      <c r="M237" s="122" t="n">
        <v>7</v>
      </c>
      <c r="N237" s="121" t="n">
        <f aca="false">+$H237*L237</f>
        <v>40</v>
      </c>
      <c r="O237" s="121" t="n">
        <f aca="false">+$H237*M237</f>
        <v>35</v>
      </c>
      <c r="P237" s="121" t="n">
        <f aca="false">+SUM(N237:O237)</f>
        <v>75</v>
      </c>
      <c r="R237" s="109"/>
      <c r="S237" s="109" t="n">
        <f aca="false">+R237*$H237</f>
        <v>0</v>
      </c>
      <c r="T237" s="109"/>
      <c r="U237" s="109" t="n">
        <f aca="false">+T237*$H237</f>
        <v>0</v>
      </c>
      <c r="V237" s="109" t="n">
        <f aca="false">+T237*$V$11</f>
        <v>0</v>
      </c>
      <c r="W237" s="109" t="n">
        <f aca="false">+V237*$H237</f>
        <v>0</v>
      </c>
      <c r="X237" s="109"/>
      <c r="Y237" s="109" t="n">
        <f aca="false">+X237*$H237</f>
        <v>0</v>
      </c>
      <c r="Z237" s="109"/>
      <c r="AA237" s="109" t="n">
        <f aca="false">+Z237*$H237</f>
        <v>0</v>
      </c>
      <c r="AB237" s="109"/>
      <c r="AC237" s="109" t="n">
        <f aca="false">+AB237*$H237</f>
        <v>0</v>
      </c>
      <c r="AD237" s="109" t="n">
        <f aca="false">+R237+V237+X237+Z237+AB237</f>
        <v>0</v>
      </c>
      <c r="AE237" s="109" t="n">
        <f aca="false">+AD237*$H237</f>
        <v>0</v>
      </c>
    </row>
    <row r="238" customFormat="false" ht="16.5" hidden="true" customHeight="true" outlineLevel="0" collapsed="false">
      <c r="A238" s="102"/>
      <c r="B238" s="117" t="s">
        <v>487</v>
      </c>
      <c r="C238" s="111"/>
      <c r="D238" s="118" t="s">
        <v>488</v>
      </c>
      <c r="E238" s="113" t="s">
        <v>85</v>
      </c>
      <c r="F238" s="119" t="n">
        <v>0</v>
      </c>
      <c r="G238" s="119" t="n">
        <v>0</v>
      </c>
      <c r="H238" s="115" t="n">
        <f aca="false">IFERROR(SUM($F238:$G238),"")</f>
        <v>0</v>
      </c>
      <c r="J238" s="116"/>
      <c r="K238" s="116"/>
      <c r="L238" s="116"/>
      <c r="M238" s="116"/>
      <c r="N238" s="116"/>
      <c r="O238" s="116"/>
      <c r="P238" s="116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</row>
    <row r="239" customFormat="false" ht="16.5" hidden="true" customHeight="true" outlineLevel="0" collapsed="false">
      <c r="A239" s="102"/>
      <c r="B239" s="117" t="s">
        <v>489</v>
      </c>
      <c r="C239" s="111"/>
      <c r="D239" s="118" t="s">
        <v>490</v>
      </c>
      <c r="E239" s="113" t="s">
        <v>85</v>
      </c>
      <c r="F239" s="119" t="n">
        <v>0</v>
      </c>
      <c r="G239" s="119" t="n">
        <v>0</v>
      </c>
      <c r="H239" s="115" t="n">
        <f aca="false">IFERROR(SUM($F239:$G239),"")</f>
        <v>0</v>
      </c>
      <c r="J239" s="116"/>
      <c r="K239" s="116"/>
      <c r="L239" s="116"/>
      <c r="M239" s="116"/>
      <c r="N239" s="116"/>
      <c r="O239" s="116"/>
      <c r="P239" s="116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</row>
    <row r="240" customFormat="false" ht="16.5" hidden="false" customHeight="true" outlineLevel="0" collapsed="false">
      <c r="A240" s="102"/>
      <c r="B240" s="117" t="s">
        <v>491</v>
      </c>
      <c r="C240" s="111"/>
      <c r="D240" s="118" t="s">
        <v>492</v>
      </c>
      <c r="E240" s="113" t="s">
        <v>85</v>
      </c>
      <c r="F240" s="119" t="n">
        <v>0</v>
      </c>
      <c r="G240" s="119" t="n">
        <v>14</v>
      </c>
      <c r="H240" s="115" t="n">
        <f aca="false">IFERROR(SUM($F240:$G240),"")</f>
        <v>14</v>
      </c>
      <c r="J240" s="120" t="n">
        <v>2</v>
      </c>
      <c r="K240" s="121" t="n">
        <f aca="false">+$H240*J240</f>
        <v>28</v>
      </c>
      <c r="L240" s="122" t="n">
        <v>10</v>
      </c>
      <c r="M240" s="122" t="n">
        <v>12</v>
      </c>
      <c r="N240" s="121" t="n">
        <f aca="false">+$H240*L240</f>
        <v>140</v>
      </c>
      <c r="O240" s="121" t="n">
        <f aca="false">+$H240*M240</f>
        <v>168</v>
      </c>
      <c r="P240" s="121" t="n">
        <f aca="false">+SUM(N240:O240)</f>
        <v>308</v>
      </c>
      <c r="R240" s="109"/>
      <c r="S240" s="109" t="n">
        <f aca="false">+R240*$H240</f>
        <v>0</v>
      </c>
      <c r="T240" s="109"/>
      <c r="U240" s="109" t="n">
        <f aca="false">+T240*$H240</f>
        <v>0</v>
      </c>
      <c r="V240" s="109" t="n">
        <f aca="false">+T240*$V$11</f>
        <v>0</v>
      </c>
      <c r="W240" s="109" t="n">
        <f aca="false">+V240*$H240</f>
        <v>0</v>
      </c>
      <c r="X240" s="109"/>
      <c r="Y240" s="109" t="n">
        <f aca="false">+X240*$H240</f>
        <v>0</v>
      </c>
      <c r="Z240" s="109"/>
      <c r="AA240" s="109" t="n">
        <f aca="false">+Z240*$H240</f>
        <v>0</v>
      </c>
      <c r="AB240" s="109"/>
      <c r="AC240" s="109" t="n">
        <f aca="false">+AB240*$H240</f>
        <v>0</v>
      </c>
      <c r="AD240" s="109" t="n">
        <f aca="false">+R240+V240+X240+Z240+AB240</f>
        <v>0</v>
      </c>
      <c r="AE240" s="109" t="n">
        <f aca="false">+AD240*$H240</f>
        <v>0</v>
      </c>
    </row>
    <row r="241" customFormat="false" ht="16.5" hidden="false" customHeight="true" outlineLevel="0" collapsed="false">
      <c r="A241" s="71"/>
      <c r="B241" s="117" t="s">
        <v>493</v>
      </c>
      <c r="C241" s="111"/>
      <c r="D241" s="118" t="s">
        <v>494</v>
      </c>
      <c r="E241" s="113" t="s">
        <v>85</v>
      </c>
      <c r="F241" s="119" t="n">
        <v>0</v>
      </c>
      <c r="G241" s="119" t="n">
        <v>7</v>
      </c>
      <c r="H241" s="115" t="n">
        <f aca="false">IFERROR(SUM($F241:$G241),"")</f>
        <v>7</v>
      </c>
      <c r="J241" s="120" t="n">
        <v>2.25</v>
      </c>
      <c r="K241" s="121" t="n">
        <f aca="false">+$H241*J241</f>
        <v>15.75</v>
      </c>
      <c r="L241" s="122" t="n">
        <v>11.25</v>
      </c>
      <c r="M241" s="122" t="n">
        <v>15</v>
      </c>
      <c r="N241" s="121" t="n">
        <f aca="false">+$H241*L241</f>
        <v>78.75</v>
      </c>
      <c r="O241" s="121" t="n">
        <f aca="false">+$H241*M241</f>
        <v>105</v>
      </c>
      <c r="P241" s="121" t="n">
        <f aca="false">+SUM(N241:O241)</f>
        <v>183.75</v>
      </c>
      <c r="R241" s="109"/>
      <c r="S241" s="109" t="n">
        <f aca="false">+R241*$H241</f>
        <v>0</v>
      </c>
      <c r="T241" s="109"/>
      <c r="U241" s="109" t="n">
        <f aca="false">+T241*$H241</f>
        <v>0</v>
      </c>
      <c r="V241" s="109" t="n">
        <f aca="false">+T241*$V$11</f>
        <v>0</v>
      </c>
      <c r="W241" s="109" t="n">
        <f aca="false">+V241*$H241</f>
        <v>0</v>
      </c>
      <c r="X241" s="109"/>
      <c r="Y241" s="109" t="n">
        <f aca="false">+X241*$H241</f>
        <v>0</v>
      </c>
      <c r="Z241" s="109"/>
      <c r="AA241" s="109" t="n">
        <f aca="false">+Z241*$H241</f>
        <v>0</v>
      </c>
      <c r="AB241" s="109"/>
      <c r="AC241" s="109" t="n">
        <f aca="false">+AB241*$H241</f>
        <v>0</v>
      </c>
      <c r="AD241" s="109" t="n">
        <f aca="false">+R241+V241+X241+Z241+AB241</f>
        <v>0</v>
      </c>
      <c r="AE241" s="109" t="n">
        <f aca="false">+AD241*$H241</f>
        <v>0</v>
      </c>
    </row>
    <row r="242" customFormat="false" ht="16.5" hidden="true" customHeight="true" outlineLevel="0" collapsed="false">
      <c r="A242" s="102"/>
      <c r="B242" s="117" t="s">
        <v>495</v>
      </c>
      <c r="C242" s="111"/>
      <c r="D242" s="118" t="s">
        <v>496</v>
      </c>
      <c r="E242" s="113" t="s">
        <v>85</v>
      </c>
      <c r="F242" s="119" t="n">
        <v>0</v>
      </c>
      <c r="G242" s="119" t="n">
        <v>0</v>
      </c>
      <c r="H242" s="115" t="n">
        <f aca="false">IFERROR(SUM($F242:$G242),"")</f>
        <v>0</v>
      </c>
      <c r="J242" s="116"/>
      <c r="K242" s="116"/>
      <c r="L242" s="116"/>
      <c r="M242" s="116"/>
      <c r="N242" s="116"/>
      <c r="O242" s="116"/>
      <c r="P242" s="116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</row>
    <row r="243" customFormat="false" ht="16.5" hidden="false" customHeight="true" outlineLevel="0" collapsed="false">
      <c r="A243" s="102"/>
      <c r="B243" s="117" t="s">
        <v>497</v>
      </c>
      <c r="C243" s="111"/>
      <c r="D243" s="118" t="s">
        <v>498</v>
      </c>
      <c r="E243" s="113" t="s">
        <v>85</v>
      </c>
      <c r="F243" s="119" t="n">
        <v>0</v>
      </c>
      <c r="G243" s="119" t="n">
        <v>5</v>
      </c>
      <c r="H243" s="115" t="n">
        <f aca="false">IFERROR(SUM($F243:$G243),"")</f>
        <v>5</v>
      </c>
      <c r="J243" s="120" t="n">
        <v>2.8</v>
      </c>
      <c r="K243" s="121" t="n">
        <f aca="false">+$H243*J243</f>
        <v>14</v>
      </c>
      <c r="L243" s="122" t="n">
        <v>14</v>
      </c>
      <c r="M243" s="122" t="n">
        <v>22</v>
      </c>
      <c r="N243" s="121" t="n">
        <f aca="false">+$H243*L243</f>
        <v>70</v>
      </c>
      <c r="O243" s="121" t="n">
        <f aca="false">+$H243*M243</f>
        <v>110</v>
      </c>
      <c r="P243" s="121" t="n">
        <f aca="false">+SUM(N243:O243)</f>
        <v>180</v>
      </c>
      <c r="R243" s="109"/>
      <c r="S243" s="109" t="n">
        <f aca="false">+R243*$H243</f>
        <v>0</v>
      </c>
      <c r="T243" s="109"/>
      <c r="U243" s="109" t="n">
        <f aca="false">+T243*$H243</f>
        <v>0</v>
      </c>
      <c r="V243" s="109" t="n">
        <f aca="false">+T243*$V$11</f>
        <v>0</v>
      </c>
      <c r="W243" s="109" t="n">
        <f aca="false">+V243*$H243</f>
        <v>0</v>
      </c>
      <c r="X243" s="109"/>
      <c r="Y243" s="109" t="n">
        <f aca="false">+X243*$H243</f>
        <v>0</v>
      </c>
      <c r="Z243" s="109"/>
      <c r="AA243" s="109" t="n">
        <f aca="false">+Z243*$H243</f>
        <v>0</v>
      </c>
      <c r="AB243" s="109"/>
      <c r="AC243" s="109" t="n">
        <f aca="false">+AB243*$H243</f>
        <v>0</v>
      </c>
      <c r="AD243" s="109" t="n">
        <f aca="false">+R243+V243+X243+Z243+AB243</f>
        <v>0</v>
      </c>
      <c r="AE243" s="109" t="n">
        <f aca="false">+AD243*$H243</f>
        <v>0</v>
      </c>
    </row>
    <row r="244" customFormat="false" ht="16.5" hidden="false" customHeight="true" outlineLevel="0" collapsed="false">
      <c r="A244" s="102"/>
      <c r="B244" s="117" t="s">
        <v>499</v>
      </c>
      <c r="C244" s="111"/>
      <c r="D244" s="118" t="s">
        <v>500</v>
      </c>
      <c r="E244" s="113" t="s">
        <v>85</v>
      </c>
      <c r="F244" s="119" t="n">
        <v>0</v>
      </c>
      <c r="G244" s="119" t="n">
        <v>186</v>
      </c>
      <c r="H244" s="115" t="n">
        <f aca="false">IFERROR(SUM($F244:$G244),"")</f>
        <v>186</v>
      </c>
      <c r="J244" s="120" t="n">
        <v>3.2</v>
      </c>
      <c r="K244" s="121" t="n">
        <f aca="false">+$H244*J244</f>
        <v>595.2</v>
      </c>
      <c r="L244" s="122" t="n">
        <v>16</v>
      </c>
      <c r="M244" s="122" t="n">
        <v>18</v>
      </c>
      <c r="N244" s="121" t="n">
        <f aca="false">+$H244*L244</f>
        <v>2976</v>
      </c>
      <c r="O244" s="121" t="n">
        <f aca="false">+$H244*M244</f>
        <v>3348</v>
      </c>
      <c r="P244" s="121" t="n">
        <f aca="false">+SUM(N244:O244)</f>
        <v>6324</v>
      </c>
      <c r="R244" s="109"/>
      <c r="S244" s="109" t="n">
        <f aca="false">+R244*$H244</f>
        <v>0</v>
      </c>
      <c r="T244" s="109"/>
      <c r="U244" s="109" t="n">
        <f aca="false">+T244*$H244</f>
        <v>0</v>
      </c>
      <c r="V244" s="109" t="n">
        <f aca="false">+T244*$V$11</f>
        <v>0</v>
      </c>
      <c r="W244" s="109" t="n">
        <f aca="false">+V244*$H244</f>
        <v>0</v>
      </c>
      <c r="X244" s="109"/>
      <c r="Y244" s="109" t="n">
        <f aca="false">+X244*$H244</f>
        <v>0</v>
      </c>
      <c r="Z244" s="109"/>
      <c r="AA244" s="109" t="n">
        <f aca="false">+Z244*$H244</f>
        <v>0</v>
      </c>
      <c r="AB244" s="109"/>
      <c r="AC244" s="109" t="n">
        <f aca="false">+AB244*$H244</f>
        <v>0</v>
      </c>
      <c r="AD244" s="109" t="n">
        <f aca="false">+R244+V244+X244+Z244+AB244</f>
        <v>0</v>
      </c>
      <c r="AE244" s="109" t="n">
        <f aca="false">+AD244*$H244</f>
        <v>0</v>
      </c>
    </row>
    <row r="245" customFormat="false" ht="16.5" hidden="true" customHeight="true" outlineLevel="0" collapsed="false">
      <c r="A245" s="102"/>
      <c r="B245" s="117" t="s">
        <v>501</v>
      </c>
      <c r="C245" s="111"/>
      <c r="D245" s="118" t="s">
        <v>502</v>
      </c>
      <c r="E245" s="113" t="s">
        <v>85</v>
      </c>
      <c r="F245" s="119" t="n">
        <v>0</v>
      </c>
      <c r="G245" s="119" t="n">
        <v>0</v>
      </c>
      <c r="H245" s="115" t="n">
        <f aca="false">IFERROR(SUM($F245:$G245),"")</f>
        <v>0</v>
      </c>
      <c r="J245" s="116"/>
      <c r="K245" s="116"/>
      <c r="L245" s="116"/>
      <c r="M245" s="116"/>
      <c r="N245" s="116"/>
      <c r="O245" s="116"/>
      <c r="P245" s="116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</row>
    <row r="246" customFormat="false" ht="16.5" hidden="true" customHeight="true" outlineLevel="0" collapsed="false">
      <c r="A246" s="102"/>
      <c r="B246" s="117" t="s">
        <v>503</v>
      </c>
      <c r="C246" s="111"/>
      <c r="D246" s="118" t="s">
        <v>504</v>
      </c>
      <c r="E246" s="113" t="s">
        <v>85</v>
      </c>
      <c r="F246" s="119" t="n">
        <v>0</v>
      </c>
      <c r="G246" s="119" t="n">
        <v>0</v>
      </c>
      <c r="H246" s="115" t="n">
        <f aca="false">IFERROR(SUM($F246:$G246),"")</f>
        <v>0</v>
      </c>
      <c r="J246" s="116"/>
      <c r="K246" s="116"/>
      <c r="L246" s="116"/>
      <c r="M246" s="116"/>
      <c r="N246" s="116"/>
      <c r="O246" s="116"/>
      <c r="P246" s="116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</row>
    <row r="247" customFormat="false" ht="16.5" hidden="false" customHeight="true" outlineLevel="0" collapsed="false">
      <c r="A247" s="102"/>
      <c r="B247" s="117" t="s">
        <v>505</v>
      </c>
      <c r="C247" s="111"/>
      <c r="D247" s="118" t="s">
        <v>506</v>
      </c>
      <c r="E247" s="113" t="s">
        <v>85</v>
      </c>
      <c r="F247" s="119" t="n">
        <v>0</v>
      </c>
      <c r="G247" s="119" t="n">
        <v>14</v>
      </c>
      <c r="H247" s="115" t="n">
        <f aca="false">IFERROR(SUM($F247:$G247),"")</f>
        <v>14</v>
      </c>
      <c r="J247" s="120" t="n">
        <v>4.8</v>
      </c>
      <c r="K247" s="121" t="n">
        <f aca="false">+$H247*J247</f>
        <v>67.2</v>
      </c>
      <c r="L247" s="122" t="n">
        <v>24</v>
      </c>
      <c r="M247" s="122" t="n">
        <v>30</v>
      </c>
      <c r="N247" s="121" t="n">
        <f aca="false">+$H247*L247</f>
        <v>336</v>
      </c>
      <c r="O247" s="121" t="n">
        <f aca="false">+$H247*M247</f>
        <v>420</v>
      </c>
      <c r="P247" s="121" t="n">
        <f aca="false">+SUM(N247:O247)</f>
        <v>756</v>
      </c>
      <c r="R247" s="109"/>
      <c r="S247" s="109" t="n">
        <f aca="false">+R247*$H247</f>
        <v>0</v>
      </c>
      <c r="T247" s="109"/>
      <c r="U247" s="109" t="n">
        <f aca="false">+T247*$H247</f>
        <v>0</v>
      </c>
      <c r="V247" s="109" t="n">
        <f aca="false">+T247*$V$11</f>
        <v>0</v>
      </c>
      <c r="W247" s="109" t="n">
        <f aca="false">+V247*$H247</f>
        <v>0</v>
      </c>
      <c r="X247" s="109"/>
      <c r="Y247" s="109" t="n">
        <f aca="false">+X247*$H247</f>
        <v>0</v>
      </c>
      <c r="Z247" s="109"/>
      <c r="AA247" s="109" t="n">
        <f aca="false">+Z247*$H247</f>
        <v>0</v>
      </c>
      <c r="AB247" s="109"/>
      <c r="AC247" s="109" t="n">
        <f aca="false">+AB247*$H247</f>
        <v>0</v>
      </c>
      <c r="AD247" s="109" t="n">
        <f aca="false">+R247+V247+X247+Z247+AB247</f>
        <v>0</v>
      </c>
      <c r="AE247" s="109" t="n">
        <f aca="false">+AD247*$H247</f>
        <v>0</v>
      </c>
    </row>
    <row r="248" customFormat="false" ht="16.5" hidden="true" customHeight="true" outlineLevel="0" collapsed="false">
      <c r="A248" s="102"/>
      <c r="B248" s="117" t="s">
        <v>507</v>
      </c>
      <c r="C248" s="111"/>
      <c r="D248" s="118" t="s">
        <v>508</v>
      </c>
      <c r="E248" s="113" t="s">
        <v>85</v>
      </c>
      <c r="F248" s="119" t="n">
        <v>0</v>
      </c>
      <c r="G248" s="119" t="n">
        <v>0</v>
      </c>
      <c r="H248" s="115" t="n">
        <f aca="false">IFERROR(SUM($F248:$G248),"")</f>
        <v>0</v>
      </c>
      <c r="J248" s="116"/>
      <c r="K248" s="116"/>
      <c r="L248" s="116"/>
      <c r="M248" s="116"/>
      <c r="N248" s="116"/>
      <c r="O248" s="116"/>
      <c r="P248" s="116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</row>
    <row r="249" customFormat="false" ht="16.5" hidden="true" customHeight="true" outlineLevel="0" collapsed="false">
      <c r="A249" s="102"/>
      <c r="B249" s="117" t="s">
        <v>509</v>
      </c>
      <c r="C249" s="111"/>
      <c r="D249" s="118" t="s">
        <v>510</v>
      </c>
      <c r="E249" s="113" t="s">
        <v>85</v>
      </c>
      <c r="F249" s="119" t="n">
        <v>0</v>
      </c>
      <c r="G249" s="119" t="n">
        <v>0</v>
      </c>
      <c r="H249" s="115" t="n">
        <f aca="false">IFERROR(SUM($F249:$G249),"")</f>
        <v>0</v>
      </c>
      <c r="J249" s="116"/>
      <c r="K249" s="116"/>
      <c r="L249" s="116"/>
      <c r="M249" s="116"/>
      <c r="N249" s="116"/>
      <c r="O249" s="116"/>
      <c r="P249" s="116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</row>
    <row r="250" customFormat="false" ht="16.5" hidden="false" customHeight="true" outlineLevel="0" collapsed="false">
      <c r="A250" s="102"/>
      <c r="B250" s="117" t="s">
        <v>511</v>
      </c>
      <c r="C250" s="111"/>
      <c r="D250" s="118" t="s">
        <v>512</v>
      </c>
      <c r="E250" s="113" t="s">
        <v>85</v>
      </c>
      <c r="F250" s="119" t="n">
        <v>0</v>
      </c>
      <c r="G250" s="119" t="n">
        <v>21</v>
      </c>
      <c r="H250" s="115" t="n">
        <f aca="false">IFERROR(SUM($F250:$G250),"")</f>
        <v>21</v>
      </c>
      <c r="J250" s="120" t="n">
        <v>0.65</v>
      </c>
      <c r="K250" s="121" t="n">
        <f aca="false">+$H250*J250</f>
        <v>13.65</v>
      </c>
      <c r="L250" s="122" t="n">
        <v>3.25</v>
      </c>
      <c r="M250" s="122" t="n">
        <v>2</v>
      </c>
      <c r="N250" s="121" t="n">
        <f aca="false">+$H250*L250</f>
        <v>68.25</v>
      </c>
      <c r="O250" s="121" t="n">
        <f aca="false">+$H250*M250</f>
        <v>42</v>
      </c>
      <c r="P250" s="121" t="n">
        <f aca="false">+SUM(N250:O250)</f>
        <v>110.25</v>
      </c>
      <c r="R250" s="109"/>
      <c r="S250" s="109" t="n">
        <f aca="false">+R250*$H250</f>
        <v>0</v>
      </c>
      <c r="T250" s="109"/>
      <c r="U250" s="109" t="n">
        <f aca="false">+T250*$H250</f>
        <v>0</v>
      </c>
      <c r="V250" s="109" t="n">
        <f aca="false">+T250*$V$11</f>
        <v>0</v>
      </c>
      <c r="W250" s="109" t="n">
        <f aca="false">+V250*$H250</f>
        <v>0</v>
      </c>
      <c r="X250" s="109"/>
      <c r="Y250" s="109" t="n">
        <f aca="false">+X250*$H250</f>
        <v>0</v>
      </c>
      <c r="Z250" s="109"/>
      <c r="AA250" s="109" t="n">
        <f aca="false">+Z250*$H250</f>
        <v>0</v>
      </c>
      <c r="AB250" s="109"/>
      <c r="AC250" s="109" t="n">
        <f aca="false">+AB250*$H250</f>
        <v>0</v>
      </c>
      <c r="AD250" s="109" t="n">
        <f aca="false">+R250+V250+X250+Z250+AB250</f>
        <v>0</v>
      </c>
      <c r="AE250" s="109" t="n">
        <f aca="false">+AD250*$H250</f>
        <v>0</v>
      </c>
    </row>
    <row r="251" customFormat="false" ht="16.5" hidden="false" customHeight="true" outlineLevel="0" collapsed="false">
      <c r="A251" s="102"/>
      <c r="B251" s="117" t="s">
        <v>513</v>
      </c>
      <c r="C251" s="111"/>
      <c r="D251" s="118" t="s">
        <v>514</v>
      </c>
      <c r="E251" s="113" t="s">
        <v>85</v>
      </c>
      <c r="F251" s="119" t="n">
        <v>0</v>
      </c>
      <c r="G251" s="119" t="n">
        <v>26</v>
      </c>
      <c r="H251" s="115" t="n">
        <f aca="false">IFERROR(SUM($F251:$G251),"")</f>
        <v>26</v>
      </c>
      <c r="J251" s="120" t="n">
        <v>0.8</v>
      </c>
      <c r="K251" s="121" t="n">
        <f aca="false">+$H251*J251</f>
        <v>20.8</v>
      </c>
      <c r="L251" s="122" t="n">
        <v>4</v>
      </c>
      <c r="M251" s="122" t="n">
        <v>2.5</v>
      </c>
      <c r="N251" s="121" t="n">
        <f aca="false">+$H251*L251</f>
        <v>104</v>
      </c>
      <c r="O251" s="121" t="n">
        <f aca="false">+$H251*M251</f>
        <v>65</v>
      </c>
      <c r="P251" s="121" t="n">
        <f aca="false">+SUM(N251:O251)</f>
        <v>169</v>
      </c>
      <c r="R251" s="109"/>
      <c r="S251" s="109" t="n">
        <f aca="false">+R251*$H251</f>
        <v>0</v>
      </c>
      <c r="T251" s="109"/>
      <c r="U251" s="109" t="n">
        <f aca="false">+T251*$H251</f>
        <v>0</v>
      </c>
      <c r="V251" s="109" t="n">
        <f aca="false">+T251*$V$11</f>
        <v>0</v>
      </c>
      <c r="W251" s="109" t="n">
        <f aca="false">+V251*$H251</f>
        <v>0</v>
      </c>
      <c r="X251" s="109"/>
      <c r="Y251" s="109" t="n">
        <f aca="false">+X251*$H251</f>
        <v>0</v>
      </c>
      <c r="Z251" s="109"/>
      <c r="AA251" s="109" t="n">
        <f aca="false">+Z251*$H251</f>
        <v>0</v>
      </c>
      <c r="AB251" s="109"/>
      <c r="AC251" s="109" t="n">
        <f aca="false">+AB251*$H251</f>
        <v>0</v>
      </c>
      <c r="AD251" s="109" t="n">
        <f aca="false">+R251+V251+X251+Z251+AB251</f>
        <v>0</v>
      </c>
      <c r="AE251" s="109" t="n">
        <f aca="false">+AD251*$H251</f>
        <v>0</v>
      </c>
    </row>
    <row r="252" s="215" customFormat="true" ht="16.5" hidden="false" customHeight="true" outlineLevel="0" collapsed="false">
      <c r="A252" s="231"/>
      <c r="B252" s="209" t="s">
        <v>515</v>
      </c>
      <c r="C252" s="210"/>
      <c r="D252" s="211" t="s">
        <v>516</v>
      </c>
      <c r="E252" s="212" t="s">
        <v>85</v>
      </c>
      <c r="F252" s="213" t="n">
        <v>0</v>
      </c>
      <c r="G252" s="213" t="n">
        <v>404</v>
      </c>
      <c r="H252" s="214" t="n">
        <f aca="false">IFERROR(SUM($F252:$G252),"")</f>
        <v>404</v>
      </c>
      <c r="J252" s="216" t="n">
        <v>1</v>
      </c>
      <c r="K252" s="217" t="n">
        <f aca="false">+$H252*J252</f>
        <v>404</v>
      </c>
      <c r="L252" s="217" t="n">
        <v>5</v>
      </c>
      <c r="M252" s="217" t="n">
        <v>3.5</v>
      </c>
      <c r="N252" s="217" t="n">
        <f aca="false">+$H252*L252</f>
        <v>2020</v>
      </c>
      <c r="O252" s="217" t="n">
        <f aca="false">+$H252*M252</f>
        <v>1414</v>
      </c>
      <c r="P252" s="217" t="n">
        <f aca="false">+SUM(N252:O252)</f>
        <v>3434</v>
      </c>
      <c r="R252" s="218" t="n">
        <v>0</v>
      </c>
      <c r="S252" s="218" t="n">
        <f aca="false">+R252*$H252</f>
        <v>0</v>
      </c>
      <c r="T252" s="218" t="n">
        <v>0.2</v>
      </c>
      <c r="U252" s="218" t="n">
        <f aca="false">+T252*$H252</f>
        <v>80.8</v>
      </c>
      <c r="V252" s="218" t="n">
        <f aca="false">+T252*$V$11</f>
        <v>1</v>
      </c>
      <c r="W252" s="218" t="n">
        <f aca="false">+V252*$H252</f>
        <v>404</v>
      </c>
      <c r="X252" s="218" t="n">
        <v>1</v>
      </c>
      <c r="Y252" s="218" t="n">
        <f aca="false">+X252*$H252</f>
        <v>404</v>
      </c>
      <c r="Z252" s="218" t="n">
        <v>0.23</v>
      </c>
      <c r="AA252" s="218" t="n">
        <f aca="false">+Z252*$H252</f>
        <v>92.92</v>
      </c>
      <c r="AB252" s="218"/>
      <c r="AC252" s="218" t="n">
        <f aca="false">+AB252*$H252</f>
        <v>0</v>
      </c>
      <c r="AD252" s="218" t="n">
        <f aca="false">+R252+V252+X252+Z252+AB252</f>
        <v>2.23</v>
      </c>
      <c r="AE252" s="218" t="n">
        <f aca="false">+AD252*$H252</f>
        <v>900.92</v>
      </c>
    </row>
    <row r="253" customFormat="false" ht="16.5" hidden="true" customHeight="true" outlineLevel="0" collapsed="false">
      <c r="A253" s="102"/>
      <c r="B253" s="117" t="s">
        <v>517</v>
      </c>
      <c r="C253" s="111"/>
      <c r="D253" s="118" t="s">
        <v>518</v>
      </c>
      <c r="E253" s="113" t="s">
        <v>85</v>
      </c>
      <c r="F253" s="119" t="n">
        <v>0</v>
      </c>
      <c r="G253" s="119" t="n">
        <v>0</v>
      </c>
      <c r="H253" s="115" t="n">
        <f aca="false">IFERROR(SUM($F253:$G253),"")</f>
        <v>0</v>
      </c>
      <c r="J253" s="116"/>
      <c r="K253" s="116"/>
      <c r="L253" s="116"/>
      <c r="M253" s="116"/>
      <c r="N253" s="116"/>
      <c r="O253" s="116"/>
      <c r="P253" s="116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</row>
    <row r="254" customFormat="false" ht="16.5" hidden="true" customHeight="true" outlineLevel="0" collapsed="false">
      <c r="A254" s="102"/>
      <c r="B254" s="117" t="s">
        <v>519</v>
      </c>
      <c r="C254" s="111"/>
      <c r="D254" s="118" t="s">
        <v>520</v>
      </c>
      <c r="E254" s="113" t="s">
        <v>85</v>
      </c>
      <c r="F254" s="119" t="n">
        <v>0</v>
      </c>
      <c r="G254" s="119" t="n">
        <v>0</v>
      </c>
      <c r="H254" s="115" t="n">
        <f aca="false">IFERROR(SUM($F254:$G254),"")</f>
        <v>0</v>
      </c>
      <c r="J254" s="116"/>
      <c r="K254" s="116"/>
      <c r="L254" s="116"/>
      <c r="M254" s="116"/>
      <c r="N254" s="116"/>
      <c r="O254" s="116"/>
      <c r="P254" s="116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</row>
    <row r="255" customFormat="false" ht="16.5" hidden="true" customHeight="true" outlineLevel="0" collapsed="false">
      <c r="A255" s="102"/>
      <c r="B255" s="117" t="s">
        <v>521</v>
      </c>
      <c r="C255" s="111"/>
      <c r="D255" s="118" t="s">
        <v>522</v>
      </c>
      <c r="E255" s="113" t="s">
        <v>85</v>
      </c>
      <c r="F255" s="119" t="n">
        <v>0</v>
      </c>
      <c r="G255" s="119" t="n">
        <v>0</v>
      </c>
      <c r="H255" s="115" t="n">
        <f aca="false">IFERROR(SUM($F255:$G255),"")</f>
        <v>0</v>
      </c>
      <c r="J255" s="116"/>
      <c r="K255" s="116"/>
      <c r="L255" s="116"/>
      <c r="M255" s="116"/>
      <c r="N255" s="116"/>
      <c r="O255" s="116"/>
      <c r="P255" s="116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</row>
    <row r="256" customFormat="false" ht="16.5" hidden="true" customHeight="true" outlineLevel="0" collapsed="false">
      <c r="A256" s="102"/>
      <c r="B256" s="117" t="s">
        <v>523</v>
      </c>
      <c r="C256" s="111"/>
      <c r="D256" s="118" t="s">
        <v>524</v>
      </c>
      <c r="E256" s="113" t="s">
        <v>85</v>
      </c>
      <c r="F256" s="119" t="n">
        <v>0</v>
      </c>
      <c r="G256" s="119" t="n">
        <v>0</v>
      </c>
      <c r="H256" s="115" t="n">
        <f aca="false">IFERROR(SUM($F256:$G256),"")</f>
        <v>0</v>
      </c>
      <c r="J256" s="116"/>
      <c r="K256" s="116"/>
      <c r="L256" s="116"/>
      <c r="M256" s="116"/>
      <c r="N256" s="116"/>
      <c r="O256" s="116"/>
      <c r="P256" s="116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</row>
    <row r="257" customFormat="false" ht="16.5" hidden="true" customHeight="true" outlineLevel="0" collapsed="false">
      <c r="A257" s="102"/>
      <c r="B257" s="117" t="s">
        <v>525</v>
      </c>
      <c r="C257" s="111"/>
      <c r="D257" s="118" t="s">
        <v>526</v>
      </c>
      <c r="E257" s="113" t="s">
        <v>85</v>
      </c>
      <c r="F257" s="119" t="n">
        <v>0</v>
      </c>
      <c r="G257" s="119" t="n">
        <v>0</v>
      </c>
      <c r="H257" s="115" t="n">
        <f aca="false">IFERROR(SUM($F257:$G257),"")</f>
        <v>0</v>
      </c>
      <c r="J257" s="116"/>
      <c r="K257" s="116"/>
      <c r="L257" s="116"/>
      <c r="M257" s="116"/>
      <c r="N257" s="116"/>
      <c r="O257" s="116"/>
      <c r="P257" s="116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</row>
    <row r="258" customFormat="false" ht="16.5" hidden="false" customHeight="true" outlineLevel="0" collapsed="false">
      <c r="A258" s="102"/>
      <c r="B258" s="117" t="s">
        <v>527</v>
      </c>
      <c r="C258" s="111"/>
      <c r="D258" s="118" t="s">
        <v>528</v>
      </c>
      <c r="E258" s="113" t="s">
        <v>85</v>
      </c>
      <c r="F258" s="119" t="n">
        <v>0</v>
      </c>
      <c r="G258" s="119" t="n">
        <v>10</v>
      </c>
      <c r="H258" s="115" t="n">
        <f aca="false">IFERROR(SUM($F258:$G258),"")</f>
        <v>10</v>
      </c>
      <c r="J258" s="120" t="n">
        <v>1.2</v>
      </c>
      <c r="K258" s="121" t="n">
        <f aca="false">+$H258*J258</f>
        <v>12</v>
      </c>
      <c r="L258" s="122" t="n">
        <v>6</v>
      </c>
      <c r="M258" s="122" t="n">
        <v>4</v>
      </c>
      <c r="N258" s="121" t="n">
        <f aca="false">+$H258*L258</f>
        <v>60</v>
      </c>
      <c r="O258" s="121" t="n">
        <f aca="false">+$H258*M258</f>
        <v>40</v>
      </c>
      <c r="P258" s="121" t="n">
        <f aca="false">+SUM(N258:O258)</f>
        <v>100</v>
      </c>
      <c r="R258" s="109"/>
      <c r="S258" s="109" t="n">
        <f aca="false">+R258*$H258</f>
        <v>0</v>
      </c>
      <c r="T258" s="109"/>
      <c r="U258" s="109" t="n">
        <f aca="false">+T258*$H258</f>
        <v>0</v>
      </c>
      <c r="V258" s="109" t="n">
        <f aca="false">+T258*$V$11</f>
        <v>0</v>
      </c>
      <c r="W258" s="109" t="n">
        <f aca="false">+V258*$H258</f>
        <v>0</v>
      </c>
      <c r="X258" s="109"/>
      <c r="Y258" s="109" t="n">
        <f aca="false">+X258*$H258</f>
        <v>0</v>
      </c>
      <c r="Z258" s="109"/>
      <c r="AA258" s="109" t="n">
        <f aca="false">+Z258*$H258</f>
        <v>0</v>
      </c>
      <c r="AB258" s="109"/>
      <c r="AC258" s="109" t="n">
        <f aca="false">+AB258*$H258</f>
        <v>0</v>
      </c>
      <c r="AD258" s="109" t="n">
        <f aca="false">+R258+V258+X258+Z258+AB258</f>
        <v>0</v>
      </c>
      <c r="AE258" s="109" t="n">
        <f aca="false">+AD258*$H258</f>
        <v>0</v>
      </c>
    </row>
    <row r="259" customFormat="false" ht="16.5" hidden="true" customHeight="true" outlineLevel="0" collapsed="false">
      <c r="A259" s="102"/>
      <c r="B259" s="117" t="s">
        <v>529</v>
      </c>
      <c r="C259" s="111"/>
      <c r="D259" s="163" t="s">
        <v>530</v>
      </c>
      <c r="E259" s="113" t="s">
        <v>85</v>
      </c>
      <c r="F259" s="119" t="n">
        <v>0</v>
      </c>
      <c r="G259" s="119" t="n">
        <v>0</v>
      </c>
      <c r="H259" s="115" t="n">
        <f aca="false">IFERROR(SUM($F259:$G259),"")</f>
        <v>0</v>
      </c>
      <c r="J259" s="116"/>
      <c r="K259" s="116"/>
      <c r="L259" s="116"/>
      <c r="M259" s="116"/>
      <c r="N259" s="116"/>
      <c r="O259" s="116"/>
      <c r="P259" s="116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</row>
    <row r="260" customFormat="false" ht="16.5" hidden="true" customHeight="true" outlineLevel="0" collapsed="false">
      <c r="A260" s="102"/>
      <c r="B260" s="117" t="s">
        <v>531</v>
      </c>
      <c r="C260" s="111"/>
      <c r="D260" s="163" t="s">
        <v>532</v>
      </c>
      <c r="E260" s="113" t="s">
        <v>85</v>
      </c>
      <c r="F260" s="119" t="n">
        <v>0</v>
      </c>
      <c r="G260" s="119" t="n">
        <v>0</v>
      </c>
      <c r="H260" s="115" t="n">
        <f aca="false">IFERROR(SUM($F260:$G260),"")</f>
        <v>0</v>
      </c>
      <c r="J260" s="116"/>
      <c r="K260" s="116"/>
      <c r="L260" s="116"/>
      <c r="M260" s="116"/>
      <c r="N260" s="116"/>
      <c r="O260" s="116"/>
      <c r="P260" s="116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</row>
    <row r="261" customFormat="false" ht="16.5" hidden="true" customHeight="true" outlineLevel="0" collapsed="false">
      <c r="A261" s="102"/>
      <c r="B261" s="117" t="s">
        <v>533</v>
      </c>
      <c r="C261" s="111"/>
      <c r="D261" s="118" t="s">
        <v>534</v>
      </c>
      <c r="E261" s="113" t="s">
        <v>85</v>
      </c>
      <c r="F261" s="119" t="n">
        <v>0</v>
      </c>
      <c r="G261" s="119" t="n">
        <v>0</v>
      </c>
      <c r="H261" s="115" t="n">
        <f aca="false">IFERROR(SUM($F261:$G261),"")</f>
        <v>0</v>
      </c>
      <c r="J261" s="116"/>
      <c r="K261" s="116"/>
      <c r="L261" s="116"/>
      <c r="M261" s="116"/>
      <c r="N261" s="116"/>
      <c r="O261" s="116"/>
      <c r="P261" s="116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</row>
    <row r="262" customFormat="false" ht="16.5" hidden="true" customHeight="true" outlineLevel="0" collapsed="false">
      <c r="A262" s="102"/>
      <c r="B262" s="117" t="s">
        <v>535</v>
      </c>
      <c r="C262" s="111"/>
      <c r="D262" s="118" t="s">
        <v>536</v>
      </c>
      <c r="E262" s="113" t="s">
        <v>85</v>
      </c>
      <c r="F262" s="119" t="n">
        <v>0</v>
      </c>
      <c r="G262" s="119" t="n">
        <v>0</v>
      </c>
      <c r="H262" s="115" t="n">
        <f aca="false">IFERROR(SUM($F262:$G262),"")</f>
        <v>0</v>
      </c>
      <c r="J262" s="116"/>
      <c r="K262" s="116"/>
      <c r="L262" s="116"/>
      <c r="M262" s="116"/>
      <c r="N262" s="116"/>
      <c r="O262" s="116"/>
      <c r="P262" s="116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</row>
    <row r="263" customFormat="false" ht="16.5" hidden="true" customHeight="true" outlineLevel="0" collapsed="false">
      <c r="A263" s="102"/>
      <c r="B263" s="117" t="s">
        <v>537</v>
      </c>
      <c r="C263" s="111"/>
      <c r="D263" s="163" t="s">
        <v>538</v>
      </c>
      <c r="E263" s="113" t="s">
        <v>85</v>
      </c>
      <c r="F263" s="119" t="n">
        <v>0</v>
      </c>
      <c r="G263" s="119" t="n">
        <v>0</v>
      </c>
      <c r="H263" s="115" t="n">
        <f aca="false">IFERROR(SUM($F263:$G263),"")</f>
        <v>0</v>
      </c>
      <c r="J263" s="116"/>
      <c r="K263" s="116"/>
      <c r="L263" s="116"/>
      <c r="M263" s="116"/>
      <c r="N263" s="116"/>
      <c r="O263" s="116"/>
      <c r="P263" s="116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</row>
    <row r="264" customFormat="false" ht="16.5" hidden="true" customHeight="true" outlineLevel="0" collapsed="false">
      <c r="A264" s="102"/>
      <c r="B264" s="117" t="s">
        <v>539</v>
      </c>
      <c r="C264" s="111"/>
      <c r="D264" s="163" t="s">
        <v>540</v>
      </c>
      <c r="E264" s="113" t="s">
        <v>85</v>
      </c>
      <c r="F264" s="119" t="n">
        <v>0</v>
      </c>
      <c r="G264" s="119" t="n">
        <v>0</v>
      </c>
      <c r="H264" s="115" t="n">
        <f aca="false">IFERROR(SUM($F264:$G264),"")</f>
        <v>0</v>
      </c>
      <c r="J264" s="116"/>
      <c r="K264" s="116"/>
      <c r="L264" s="116"/>
      <c r="M264" s="116"/>
      <c r="N264" s="116"/>
      <c r="O264" s="116"/>
      <c r="P264" s="116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</row>
    <row r="265" customFormat="false" ht="16.5" hidden="true" customHeight="true" outlineLevel="0" collapsed="false">
      <c r="A265" s="102"/>
      <c r="B265" s="117" t="s">
        <v>541</v>
      </c>
      <c r="C265" s="111"/>
      <c r="D265" s="118" t="s">
        <v>542</v>
      </c>
      <c r="E265" s="113" t="s">
        <v>85</v>
      </c>
      <c r="F265" s="119" t="n">
        <v>0</v>
      </c>
      <c r="G265" s="119" t="n">
        <v>0</v>
      </c>
      <c r="H265" s="115" t="n">
        <f aca="false">IFERROR(SUM($F265:$G265),"")</f>
        <v>0</v>
      </c>
      <c r="J265" s="116"/>
      <c r="K265" s="116"/>
      <c r="L265" s="116"/>
      <c r="M265" s="116"/>
      <c r="N265" s="116"/>
      <c r="O265" s="116"/>
      <c r="P265" s="116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</row>
    <row r="266" customFormat="false" ht="16.5" hidden="true" customHeight="true" outlineLevel="0" collapsed="false">
      <c r="A266" s="102"/>
      <c r="B266" s="117" t="s">
        <v>543</v>
      </c>
      <c r="C266" s="111"/>
      <c r="D266" s="118" t="s">
        <v>544</v>
      </c>
      <c r="E266" s="113" t="s">
        <v>85</v>
      </c>
      <c r="F266" s="119" t="n">
        <v>0</v>
      </c>
      <c r="G266" s="119" t="n">
        <v>0</v>
      </c>
      <c r="H266" s="115" t="n">
        <f aca="false">IFERROR(SUM($F266:$G266),"")</f>
        <v>0</v>
      </c>
      <c r="J266" s="116"/>
      <c r="K266" s="116"/>
      <c r="L266" s="116"/>
      <c r="M266" s="116"/>
      <c r="N266" s="116"/>
      <c r="O266" s="116"/>
      <c r="P266" s="116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</row>
    <row r="267" customFormat="false" ht="16.5" hidden="true" customHeight="true" outlineLevel="0" collapsed="false">
      <c r="A267" s="102"/>
      <c r="B267" s="117" t="s">
        <v>545</v>
      </c>
      <c r="C267" s="111"/>
      <c r="D267" s="118" t="s">
        <v>546</v>
      </c>
      <c r="E267" s="113" t="s">
        <v>85</v>
      </c>
      <c r="F267" s="119" t="n">
        <v>0</v>
      </c>
      <c r="G267" s="119" t="n">
        <v>0</v>
      </c>
      <c r="H267" s="115" t="n">
        <f aca="false">IFERROR(SUM($F267:$G267),"")</f>
        <v>0</v>
      </c>
      <c r="J267" s="116"/>
      <c r="K267" s="116"/>
      <c r="L267" s="116"/>
      <c r="M267" s="116"/>
      <c r="N267" s="116"/>
      <c r="O267" s="116"/>
      <c r="P267" s="116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</row>
    <row r="268" customFormat="false" ht="16.5" hidden="false" customHeight="true" outlineLevel="0" collapsed="false">
      <c r="A268" s="102"/>
      <c r="B268" s="117" t="s">
        <v>547</v>
      </c>
      <c r="C268" s="111"/>
      <c r="D268" s="118" t="s">
        <v>548</v>
      </c>
      <c r="E268" s="113" t="s">
        <v>85</v>
      </c>
      <c r="F268" s="119" t="n">
        <v>0</v>
      </c>
      <c r="G268" s="119" t="n">
        <v>5</v>
      </c>
      <c r="H268" s="115" t="n">
        <f aca="false">IFERROR(SUM($F268:$G268),"")</f>
        <v>5</v>
      </c>
      <c r="J268" s="120" t="n">
        <v>2.4</v>
      </c>
      <c r="K268" s="121" t="n">
        <f aca="false">+$H268*J268</f>
        <v>12</v>
      </c>
      <c r="L268" s="122" t="n">
        <v>12</v>
      </c>
      <c r="M268" s="122" t="n">
        <v>15</v>
      </c>
      <c r="N268" s="121" t="n">
        <f aca="false">+$H268*L268</f>
        <v>60</v>
      </c>
      <c r="O268" s="121" t="n">
        <f aca="false">+$H268*M268</f>
        <v>75</v>
      </c>
      <c r="P268" s="121" t="n">
        <f aca="false">+SUM(N268:O268)</f>
        <v>135</v>
      </c>
      <c r="R268" s="109"/>
      <c r="S268" s="109" t="n">
        <f aca="false">+R268*$H268</f>
        <v>0</v>
      </c>
      <c r="T268" s="109"/>
      <c r="U268" s="109" t="n">
        <f aca="false">+T268*$H268</f>
        <v>0</v>
      </c>
      <c r="V268" s="109" t="n">
        <f aca="false">+T268*$V$11</f>
        <v>0</v>
      </c>
      <c r="W268" s="109" t="n">
        <f aca="false">+V268*$H268</f>
        <v>0</v>
      </c>
      <c r="X268" s="109"/>
      <c r="Y268" s="109" t="n">
        <f aca="false">+X268*$H268</f>
        <v>0</v>
      </c>
      <c r="Z268" s="109"/>
      <c r="AA268" s="109" t="n">
        <f aca="false">+Z268*$H268</f>
        <v>0</v>
      </c>
      <c r="AB268" s="109"/>
      <c r="AC268" s="109" t="n">
        <f aca="false">+AB268*$H268</f>
        <v>0</v>
      </c>
      <c r="AD268" s="109" t="n">
        <f aca="false">+R268+V268+X268+Z268+AB268</f>
        <v>0</v>
      </c>
      <c r="AE268" s="109" t="n">
        <f aca="false">+AD268*$H268</f>
        <v>0</v>
      </c>
    </row>
    <row r="269" customFormat="false" ht="16.5" hidden="true" customHeight="true" outlineLevel="0" collapsed="false">
      <c r="A269" s="102"/>
      <c r="B269" s="117" t="s">
        <v>549</v>
      </c>
      <c r="C269" s="111"/>
      <c r="D269" s="118" t="s">
        <v>550</v>
      </c>
      <c r="E269" s="113" t="s">
        <v>85</v>
      </c>
      <c r="F269" s="119" t="n">
        <v>0</v>
      </c>
      <c r="G269" s="119" t="n">
        <v>0</v>
      </c>
      <c r="H269" s="115" t="n">
        <f aca="false">IFERROR(SUM($F269:$G269),"")</f>
        <v>0</v>
      </c>
      <c r="J269" s="116"/>
      <c r="K269" s="116"/>
      <c r="L269" s="116"/>
      <c r="M269" s="116"/>
      <c r="N269" s="116"/>
      <c r="O269" s="116"/>
      <c r="P269" s="116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</row>
    <row r="270" customFormat="false" ht="16.5" hidden="true" customHeight="true" outlineLevel="0" collapsed="false">
      <c r="A270" s="102"/>
      <c r="B270" s="117" t="s">
        <v>551</v>
      </c>
      <c r="C270" s="111"/>
      <c r="D270" s="118" t="s">
        <v>552</v>
      </c>
      <c r="E270" s="113" t="s">
        <v>85</v>
      </c>
      <c r="F270" s="119" t="n">
        <v>0</v>
      </c>
      <c r="G270" s="119" t="n">
        <v>0</v>
      </c>
      <c r="H270" s="115" t="n">
        <f aca="false">IFERROR(SUM($F270:$G270),"")</f>
        <v>0</v>
      </c>
      <c r="J270" s="116"/>
      <c r="K270" s="116"/>
      <c r="L270" s="116"/>
      <c r="M270" s="116"/>
      <c r="N270" s="116"/>
      <c r="O270" s="116"/>
      <c r="P270" s="116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</row>
    <row r="271" customFormat="false" ht="16.5" hidden="true" customHeight="true" outlineLevel="0" collapsed="false">
      <c r="A271" s="102"/>
      <c r="B271" s="117" t="s">
        <v>553</v>
      </c>
      <c r="C271" s="111"/>
      <c r="D271" s="118" t="s">
        <v>554</v>
      </c>
      <c r="E271" s="113" t="s">
        <v>85</v>
      </c>
      <c r="F271" s="119" t="n">
        <v>0</v>
      </c>
      <c r="G271" s="119" t="n">
        <v>0</v>
      </c>
      <c r="H271" s="115" t="n">
        <f aca="false">IFERROR(SUM($F271:$G271),"")</f>
        <v>0</v>
      </c>
      <c r="J271" s="116"/>
      <c r="K271" s="116"/>
      <c r="L271" s="116"/>
      <c r="M271" s="116"/>
      <c r="N271" s="116"/>
      <c r="O271" s="116"/>
      <c r="P271" s="116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</row>
    <row r="272" customFormat="false" ht="16.5" hidden="true" customHeight="true" outlineLevel="0" collapsed="false">
      <c r="A272" s="102"/>
      <c r="B272" s="117" t="s">
        <v>555</v>
      </c>
      <c r="C272" s="111"/>
      <c r="D272" s="118" t="s">
        <v>556</v>
      </c>
      <c r="E272" s="113" t="s">
        <v>85</v>
      </c>
      <c r="F272" s="119" t="n">
        <v>0</v>
      </c>
      <c r="G272" s="119" t="n">
        <v>0</v>
      </c>
      <c r="H272" s="115" t="n">
        <f aca="false">IFERROR(SUM($F272:$G272),"")</f>
        <v>0</v>
      </c>
      <c r="J272" s="116"/>
      <c r="K272" s="116"/>
      <c r="L272" s="116"/>
      <c r="M272" s="116"/>
      <c r="N272" s="116"/>
      <c r="O272" s="116"/>
      <c r="P272" s="116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</row>
    <row r="273" customFormat="false" ht="16.5" hidden="false" customHeight="true" outlineLevel="0" collapsed="false">
      <c r="A273" s="102"/>
      <c r="B273" s="117" t="s">
        <v>557</v>
      </c>
      <c r="C273" s="111"/>
      <c r="D273" s="118" t="s">
        <v>558</v>
      </c>
      <c r="E273" s="113" t="s">
        <v>85</v>
      </c>
      <c r="F273" s="119" t="n">
        <v>0</v>
      </c>
      <c r="G273" s="119" t="n">
        <v>113</v>
      </c>
      <c r="H273" s="115" t="n">
        <f aca="false">IFERROR(SUM($F273:$G273),"")</f>
        <v>113</v>
      </c>
      <c r="J273" s="120" t="n">
        <v>0.65</v>
      </c>
      <c r="K273" s="121" t="n">
        <f aca="false">+$H273*J273</f>
        <v>73.45</v>
      </c>
      <c r="L273" s="122" t="n">
        <v>3.25</v>
      </c>
      <c r="M273" s="122" t="n">
        <v>2</v>
      </c>
      <c r="N273" s="121" t="n">
        <f aca="false">+$H273*L273</f>
        <v>367.25</v>
      </c>
      <c r="O273" s="121" t="n">
        <f aca="false">+$H273*M273</f>
        <v>226</v>
      </c>
      <c r="P273" s="121" t="n">
        <f aca="false">+SUM(N273:O273)</f>
        <v>593.25</v>
      </c>
      <c r="R273" s="109"/>
      <c r="S273" s="109" t="n">
        <f aca="false">+R273*$H273</f>
        <v>0</v>
      </c>
      <c r="T273" s="109"/>
      <c r="U273" s="109" t="n">
        <f aca="false">+T273*$H273</f>
        <v>0</v>
      </c>
      <c r="V273" s="109" t="n">
        <f aca="false">+T273*$V$11</f>
        <v>0</v>
      </c>
      <c r="W273" s="109" t="n">
        <f aca="false">+V273*$H273</f>
        <v>0</v>
      </c>
      <c r="X273" s="109"/>
      <c r="Y273" s="109" t="n">
        <f aca="false">+X273*$H273</f>
        <v>0</v>
      </c>
      <c r="Z273" s="109"/>
      <c r="AA273" s="109" t="n">
        <f aca="false">+Z273*$H273</f>
        <v>0</v>
      </c>
      <c r="AB273" s="109"/>
      <c r="AC273" s="109" t="n">
        <f aca="false">+AB273*$H273</f>
        <v>0</v>
      </c>
      <c r="AD273" s="109" t="n">
        <f aca="false">+R273+V273+X273+Z273+AB273</f>
        <v>0</v>
      </c>
      <c r="AE273" s="109" t="n">
        <f aca="false">+AD273*$H273</f>
        <v>0</v>
      </c>
    </row>
    <row r="274" customFormat="false" ht="16.5" hidden="false" customHeight="true" outlineLevel="0" collapsed="false">
      <c r="A274" s="102"/>
      <c r="B274" s="117"/>
      <c r="C274" s="111"/>
      <c r="D274" s="123"/>
      <c r="E274" s="113"/>
      <c r="F274" s="119" t="n">
        <v>0</v>
      </c>
      <c r="G274" s="119" t="n">
        <v>0</v>
      </c>
      <c r="H274" s="115" t="n">
        <f aca="false">IFERROR(SUM($F274:$G274),"")</f>
        <v>0</v>
      </c>
      <c r="J274" s="116"/>
      <c r="K274" s="116"/>
      <c r="L274" s="116"/>
      <c r="M274" s="116"/>
      <c r="N274" s="116"/>
      <c r="O274" s="116"/>
      <c r="P274" s="116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</row>
    <row r="275" customFormat="false" ht="16.5" hidden="false" customHeight="true" outlineLevel="0" collapsed="false">
      <c r="A275" s="102"/>
      <c r="B275" s="124"/>
      <c r="C275" s="125"/>
      <c r="D275" s="148"/>
      <c r="E275" s="127"/>
      <c r="F275" s="119" t="n">
        <v>0</v>
      </c>
      <c r="G275" s="119" t="n">
        <v>0</v>
      </c>
      <c r="H275" s="115" t="n">
        <f aca="false">IFERROR(SUM($F275:$G275),"")</f>
        <v>0</v>
      </c>
      <c r="J275" s="116"/>
      <c r="K275" s="116"/>
      <c r="L275" s="116"/>
      <c r="M275" s="116"/>
      <c r="N275" s="116"/>
      <c r="O275" s="116"/>
      <c r="P275" s="116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</row>
    <row r="276" customFormat="false" ht="16.5" hidden="false" customHeight="true" outlineLevel="0" collapsed="false">
      <c r="A276" s="102"/>
      <c r="B276" s="128"/>
      <c r="C276" s="128"/>
      <c r="D276" s="128"/>
      <c r="E276" s="232"/>
      <c r="F276" s="130" t="n">
        <v>0</v>
      </c>
      <c r="G276" s="130" t="n">
        <v>0</v>
      </c>
      <c r="H276" s="131" t="n">
        <f aca="false">IFERROR(SUM($F276:$G276),"")</f>
        <v>0</v>
      </c>
      <c r="J276" s="116"/>
      <c r="K276" s="116"/>
      <c r="L276" s="116"/>
      <c r="M276" s="116"/>
      <c r="N276" s="116"/>
      <c r="O276" s="116"/>
      <c r="P276" s="116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</row>
    <row r="277" customFormat="false" ht="16.5" hidden="false" customHeight="true" outlineLevel="0" collapsed="false">
      <c r="A277" s="102"/>
      <c r="B277" s="132"/>
      <c r="C277" s="104"/>
      <c r="D277" s="233"/>
      <c r="E277" s="234"/>
      <c r="F277" s="135"/>
      <c r="G277" s="135"/>
      <c r="H277" s="136" t="n">
        <f aca="false">IFERROR(SUM($F277:$G277),"")</f>
        <v>0</v>
      </c>
      <c r="J277" s="116"/>
      <c r="K277" s="116"/>
      <c r="L277" s="116"/>
      <c r="M277" s="116"/>
      <c r="N277" s="116"/>
      <c r="O277" s="116"/>
      <c r="P277" s="116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</row>
    <row r="278" customFormat="false" ht="16.5" hidden="false" customHeight="true" outlineLevel="0" collapsed="false">
      <c r="A278" s="102"/>
      <c r="B278" s="137"/>
      <c r="C278" s="137"/>
      <c r="D278" s="137"/>
      <c r="E278" s="235"/>
      <c r="F278" s="139" t="n">
        <v>0</v>
      </c>
      <c r="G278" s="139" t="n">
        <v>0</v>
      </c>
      <c r="H278" s="140" t="n">
        <f aca="false">IFERROR(SUM($F278:$G278),"")</f>
        <v>0</v>
      </c>
      <c r="J278" s="116"/>
      <c r="K278" s="116"/>
      <c r="L278" s="116"/>
      <c r="M278" s="116"/>
      <c r="N278" s="116"/>
      <c r="O278" s="116"/>
      <c r="P278" s="116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</row>
    <row r="279" customFormat="false" ht="16.5" hidden="false" customHeight="true" outlineLevel="0" collapsed="false">
      <c r="A279" s="102"/>
      <c r="B279" s="124"/>
      <c r="C279" s="141"/>
      <c r="D279" s="141"/>
      <c r="E279" s="127"/>
      <c r="F279" s="142" t="n">
        <v>0</v>
      </c>
      <c r="G279" s="142" t="n">
        <v>0</v>
      </c>
      <c r="H279" s="143" t="n">
        <f aca="false">IFERROR(SUM($F279:$G279),"")</f>
        <v>0</v>
      </c>
      <c r="J279" s="116"/>
      <c r="K279" s="116"/>
      <c r="L279" s="116"/>
      <c r="M279" s="116"/>
      <c r="N279" s="116"/>
      <c r="O279" s="116"/>
      <c r="P279" s="116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</row>
    <row r="280" customFormat="false" ht="16.5" hidden="false" customHeight="true" outlineLevel="0" collapsed="false">
      <c r="A280" s="102"/>
      <c r="B280" s="103" t="s">
        <v>559</v>
      </c>
      <c r="C280" s="104"/>
      <c r="D280" s="104"/>
      <c r="E280" s="127"/>
      <c r="F280" s="142" t="n">
        <v>0</v>
      </c>
      <c r="G280" s="142" t="n">
        <v>0</v>
      </c>
      <c r="H280" s="143" t="n">
        <f aca="false">IFERROR(SUM($F280:$G280),"")</f>
        <v>0</v>
      </c>
      <c r="J280" s="116"/>
      <c r="K280" s="116"/>
      <c r="L280" s="116"/>
      <c r="M280" s="116"/>
      <c r="N280" s="116"/>
      <c r="O280" s="116"/>
      <c r="P280" s="116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</row>
    <row r="281" customFormat="false" ht="16.5" hidden="false" customHeight="true" outlineLevel="0" collapsed="false">
      <c r="A281" s="102"/>
      <c r="B281" s="144"/>
      <c r="C281" s="145"/>
      <c r="D281" s="146"/>
      <c r="E281" s="127"/>
      <c r="F281" s="142" t="n">
        <v>0</v>
      </c>
      <c r="G281" s="142" t="n">
        <v>0</v>
      </c>
      <c r="H281" s="143" t="n">
        <f aca="false">IFERROR(SUM($F281:$G281),"")</f>
        <v>0</v>
      </c>
      <c r="J281" s="116"/>
      <c r="K281" s="116"/>
      <c r="L281" s="116"/>
      <c r="M281" s="116"/>
      <c r="N281" s="116"/>
      <c r="O281" s="116"/>
      <c r="P281" s="116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</row>
    <row r="282" customFormat="false" ht="16.5" hidden="false" customHeight="true" outlineLevel="0" collapsed="false">
      <c r="A282" s="102"/>
      <c r="B282" s="124"/>
      <c r="C282" s="147"/>
      <c r="D282" s="148"/>
      <c r="E282" s="127"/>
      <c r="F282" s="142" t="n">
        <v>0</v>
      </c>
      <c r="G282" s="236" t="n">
        <v>0</v>
      </c>
      <c r="H282" s="143" t="n">
        <f aca="false">IFERROR(SUM($F282:$G282),"")</f>
        <v>0</v>
      </c>
      <c r="J282" s="116"/>
      <c r="K282" s="116"/>
      <c r="L282" s="116"/>
      <c r="M282" s="116"/>
      <c r="N282" s="116"/>
      <c r="O282" s="116"/>
      <c r="P282" s="116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</row>
    <row r="283" customFormat="false" ht="16.5" hidden="false" customHeight="true" outlineLevel="0" collapsed="false">
      <c r="A283" s="102"/>
      <c r="B283" s="110" t="s">
        <v>560</v>
      </c>
      <c r="C283" s="111"/>
      <c r="D283" s="123" t="s">
        <v>561</v>
      </c>
      <c r="E283" s="113"/>
      <c r="F283" s="119" t="n">
        <v>0</v>
      </c>
      <c r="G283" s="119" t="n">
        <v>0</v>
      </c>
      <c r="H283" s="115" t="n">
        <f aca="false">IFERROR(SUM($F283:$G283),"")</f>
        <v>0</v>
      </c>
      <c r="J283" s="116"/>
      <c r="K283" s="116"/>
      <c r="L283" s="116"/>
      <c r="M283" s="116"/>
      <c r="N283" s="116"/>
      <c r="O283" s="116"/>
      <c r="P283" s="116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</row>
    <row r="284" customFormat="false" ht="16.5" hidden="true" customHeight="true" outlineLevel="0" collapsed="false">
      <c r="A284" s="102"/>
      <c r="B284" s="117" t="s">
        <v>562</v>
      </c>
      <c r="C284" s="111"/>
      <c r="D284" s="118" t="s">
        <v>284</v>
      </c>
      <c r="E284" s="113" t="s">
        <v>75</v>
      </c>
      <c r="F284" s="119" t="n">
        <v>0</v>
      </c>
      <c r="G284" s="119" t="n">
        <v>0</v>
      </c>
      <c r="H284" s="115" t="n">
        <f aca="false">IFERROR(SUM($F284:$G284),"")</f>
        <v>0</v>
      </c>
      <c r="J284" s="116"/>
      <c r="K284" s="116"/>
      <c r="L284" s="116"/>
      <c r="M284" s="116"/>
      <c r="N284" s="116"/>
      <c r="O284" s="116"/>
      <c r="P284" s="116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</row>
    <row r="285" customFormat="false" ht="16.5" hidden="true" customHeight="true" outlineLevel="0" collapsed="false">
      <c r="A285" s="102"/>
      <c r="B285" s="117" t="s">
        <v>563</v>
      </c>
      <c r="C285" s="111"/>
      <c r="D285" s="118" t="s">
        <v>286</v>
      </c>
      <c r="E285" s="113" t="s">
        <v>75</v>
      </c>
      <c r="F285" s="119" t="n">
        <v>0</v>
      </c>
      <c r="G285" s="119" t="n">
        <v>0</v>
      </c>
      <c r="H285" s="115" t="n">
        <f aca="false">IFERROR(SUM($F285:$G285),"")</f>
        <v>0</v>
      </c>
      <c r="J285" s="116"/>
      <c r="K285" s="116"/>
      <c r="L285" s="116"/>
      <c r="M285" s="116"/>
      <c r="N285" s="116"/>
      <c r="O285" s="116"/>
      <c r="P285" s="116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</row>
    <row r="286" customFormat="false" ht="16.5" hidden="true" customHeight="true" outlineLevel="0" collapsed="false">
      <c r="A286" s="102"/>
      <c r="B286" s="117" t="s">
        <v>564</v>
      </c>
      <c r="C286" s="111"/>
      <c r="D286" s="118" t="s">
        <v>288</v>
      </c>
      <c r="E286" s="113" t="s">
        <v>75</v>
      </c>
      <c r="F286" s="119" t="n">
        <v>0</v>
      </c>
      <c r="G286" s="119" t="n">
        <v>0</v>
      </c>
      <c r="H286" s="115" t="n">
        <f aca="false">IFERROR(SUM($F286:$G286),"")</f>
        <v>0</v>
      </c>
      <c r="J286" s="116"/>
      <c r="K286" s="116"/>
      <c r="L286" s="116"/>
      <c r="M286" s="116"/>
      <c r="N286" s="116"/>
      <c r="O286" s="116"/>
      <c r="P286" s="116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</row>
    <row r="287" customFormat="false" ht="16.5" hidden="true" customHeight="true" outlineLevel="0" collapsed="false">
      <c r="A287" s="102"/>
      <c r="B287" s="117" t="s">
        <v>565</v>
      </c>
      <c r="C287" s="111"/>
      <c r="D287" s="118" t="s">
        <v>290</v>
      </c>
      <c r="E287" s="113" t="s">
        <v>75</v>
      </c>
      <c r="F287" s="119" t="n">
        <v>0</v>
      </c>
      <c r="G287" s="119" t="n">
        <v>0</v>
      </c>
      <c r="H287" s="115" t="n">
        <f aca="false">IFERROR(SUM($F287:$G287),"")</f>
        <v>0</v>
      </c>
      <c r="J287" s="116"/>
      <c r="K287" s="116"/>
      <c r="L287" s="116"/>
      <c r="M287" s="116"/>
      <c r="N287" s="116"/>
      <c r="O287" s="116"/>
      <c r="P287" s="116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</row>
    <row r="288" customFormat="false" ht="16.5" hidden="true" customHeight="true" outlineLevel="0" collapsed="false">
      <c r="A288" s="102"/>
      <c r="B288" s="117" t="s">
        <v>566</v>
      </c>
      <c r="C288" s="111"/>
      <c r="D288" s="118" t="s">
        <v>292</v>
      </c>
      <c r="E288" s="113" t="s">
        <v>75</v>
      </c>
      <c r="F288" s="119" t="n">
        <v>0</v>
      </c>
      <c r="G288" s="119" t="n">
        <v>0</v>
      </c>
      <c r="H288" s="115" t="n">
        <f aca="false">IFERROR(SUM($F288:$G288),"")</f>
        <v>0</v>
      </c>
      <c r="J288" s="116"/>
      <c r="K288" s="116"/>
      <c r="L288" s="116"/>
      <c r="M288" s="116"/>
      <c r="N288" s="116"/>
      <c r="O288" s="116"/>
      <c r="P288" s="116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</row>
    <row r="289" customFormat="false" ht="16.5" hidden="true" customHeight="true" outlineLevel="0" collapsed="false">
      <c r="A289" s="102"/>
      <c r="B289" s="117" t="s">
        <v>567</v>
      </c>
      <c r="C289" s="111"/>
      <c r="D289" s="118" t="s">
        <v>294</v>
      </c>
      <c r="E289" s="113" t="s">
        <v>75</v>
      </c>
      <c r="F289" s="119" t="n">
        <v>0</v>
      </c>
      <c r="G289" s="119" t="n">
        <v>0</v>
      </c>
      <c r="H289" s="115" t="n">
        <f aca="false">IFERROR(SUM($F289:$G289),"")</f>
        <v>0</v>
      </c>
      <c r="J289" s="116"/>
      <c r="K289" s="116"/>
      <c r="L289" s="116"/>
      <c r="M289" s="116"/>
      <c r="N289" s="116"/>
      <c r="O289" s="116"/>
      <c r="P289" s="116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</row>
    <row r="290" customFormat="false" ht="16.5" hidden="true" customHeight="true" outlineLevel="0" collapsed="false">
      <c r="A290" s="102"/>
      <c r="B290" s="117" t="s">
        <v>568</v>
      </c>
      <c r="C290" s="111"/>
      <c r="D290" s="118" t="s">
        <v>296</v>
      </c>
      <c r="E290" s="113" t="s">
        <v>75</v>
      </c>
      <c r="F290" s="119" t="n">
        <v>0</v>
      </c>
      <c r="G290" s="119" t="n">
        <v>0</v>
      </c>
      <c r="H290" s="115" t="n">
        <f aca="false">IFERROR(SUM($F290:$G290),"")</f>
        <v>0</v>
      </c>
      <c r="J290" s="116"/>
      <c r="K290" s="116"/>
      <c r="L290" s="116"/>
      <c r="M290" s="116"/>
      <c r="N290" s="116"/>
      <c r="O290" s="116"/>
      <c r="P290" s="116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</row>
    <row r="291" customFormat="false" ht="16.5" hidden="true" customHeight="true" outlineLevel="0" collapsed="false">
      <c r="A291" s="102"/>
      <c r="B291" s="117" t="s">
        <v>569</v>
      </c>
      <c r="C291" s="111"/>
      <c r="D291" s="118" t="s">
        <v>298</v>
      </c>
      <c r="E291" s="113" t="s">
        <v>75</v>
      </c>
      <c r="F291" s="119" t="n">
        <v>0</v>
      </c>
      <c r="G291" s="119" t="n">
        <v>0</v>
      </c>
      <c r="H291" s="115" t="n">
        <f aca="false">IFERROR(SUM($F291:$G291),"")</f>
        <v>0</v>
      </c>
      <c r="J291" s="116"/>
      <c r="K291" s="116"/>
      <c r="L291" s="116"/>
      <c r="M291" s="116"/>
      <c r="N291" s="116"/>
      <c r="O291" s="116"/>
      <c r="P291" s="116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</row>
    <row r="292" customFormat="false" ht="16.5" hidden="false" customHeight="true" outlineLevel="0" collapsed="false">
      <c r="A292" s="102"/>
      <c r="B292" s="117" t="s">
        <v>570</v>
      </c>
      <c r="C292" s="111"/>
      <c r="D292" s="118" t="s">
        <v>300</v>
      </c>
      <c r="E292" s="113" t="s">
        <v>75</v>
      </c>
      <c r="F292" s="119" t="n">
        <v>7431</v>
      </c>
      <c r="G292" s="119" t="n">
        <v>0</v>
      </c>
      <c r="H292" s="115" t="n">
        <f aca="false">IFERROR(SUM($F292:$G292),"")</f>
        <v>7431</v>
      </c>
      <c r="J292" s="120" t="n">
        <v>0.45</v>
      </c>
      <c r="K292" s="121" t="n">
        <f aca="false">+$H292*J292</f>
        <v>3343.95</v>
      </c>
      <c r="L292" s="122" t="n">
        <v>2.25</v>
      </c>
      <c r="M292" s="122" t="n">
        <v>30</v>
      </c>
      <c r="N292" s="121" t="n">
        <f aca="false">+$H292*L292</f>
        <v>16719.75</v>
      </c>
      <c r="O292" s="121" t="n">
        <f aca="false">+$H292*M292</f>
        <v>222930</v>
      </c>
      <c r="P292" s="121" t="n">
        <f aca="false">+SUM(N292:O292)</f>
        <v>239649.75</v>
      </c>
      <c r="R292" s="109" t="n">
        <v>25.44</v>
      </c>
      <c r="S292" s="109" t="n">
        <f aca="false">+R292*$H292</f>
        <v>189044.64</v>
      </c>
      <c r="T292" s="109" t="n">
        <v>5.2</v>
      </c>
      <c r="U292" s="109" t="n">
        <f aca="false">+T292*$H292</f>
        <v>38641.2</v>
      </c>
      <c r="V292" s="109" t="n">
        <f aca="false">+T292*$V$11</f>
        <v>26</v>
      </c>
      <c r="W292" s="109" t="n">
        <f aca="false">+V292*$H292</f>
        <v>193206</v>
      </c>
      <c r="X292" s="109" t="n">
        <v>2</v>
      </c>
      <c r="Y292" s="109" t="n">
        <f aca="false">+X292*$H292</f>
        <v>14862</v>
      </c>
      <c r="Z292" s="109" t="n">
        <v>3.6</v>
      </c>
      <c r="AA292" s="109" t="n">
        <f aca="false">+Z292*$H292</f>
        <v>26751.6</v>
      </c>
      <c r="AB292" s="109"/>
      <c r="AC292" s="109" t="n">
        <f aca="false">+AB292*$H292</f>
        <v>0</v>
      </c>
      <c r="AD292" s="109" t="n">
        <f aca="false">+R292+V292+X292+Z292+AB292</f>
        <v>57.04</v>
      </c>
      <c r="AE292" s="109" t="n">
        <f aca="false">+AD292*$H292</f>
        <v>423864.24</v>
      </c>
    </row>
    <row r="293" customFormat="false" ht="16.5" hidden="true" customHeight="true" outlineLevel="0" collapsed="false">
      <c r="A293" s="102"/>
      <c r="B293" s="117" t="s">
        <v>571</v>
      </c>
      <c r="C293" s="111"/>
      <c r="D293" s="118" t="s">
        <v>302</v>
      </c>
      <c r="E293" s="113" t="s">
        <v>75</v>
      </c>
      <c r="F293" s="119" t="n">
        <v>0</v>
      </c>
      <c r="G293" s="119" t="n">
        <v>0</v>
      </c>
      <c r="H293" s="115" t="n">
        <f aca="false">IFERROR(SUM($F293:$G293),"")</f>
        <v>0</v>
      </c>
      <c r="J293" s="116"/>
      <c r="K293" s="116"/>
      <c r="L293" s="116"/>
      <c r="M293" s="116"/>
      <c r="N293" s="116"/>
      <c r="O293" s="116"/>
      <c r="P293" s="116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</row>
    <row r="294" customFormat="false" ht="16.5" hidden="true" customHeight="true" outlineLevel="0" collapsed="false">
      <c r="A294" s="102"/>
      <c r="B294" s="117" t="s">
        <v>572</v>
      </c>
      <c r="C294" s="111"/>
      <c r="D294" s="118" t="s">
        <v>573</v>
      </c>
      <c r="E294" s="113" t="s">
        <v>75</v>
      </c>
      <c r="F294" s="119" t="n">
        <v>0</v>
      </c>
      <c r="G294" s="119" t="n">
        <v>0</v>
      </c>
      <c r="H294" s="115" t="n">
        <f aca="false">IFERROR(SUM($F294:$G294),"")</f>
        <v>0</v>
      </c>
      <c r="J294" s="116"/>
      <c r="K294" s="116"/>
      <c r="L294" s="116"/>
      <c r="M294" s="116"/>
      <c r="N294" s="116"/>
      <c r="O294" s="116"/>
      <c r="P294" s="116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</row>
    <row r="295" customFormat="false" ht="16.5" hidden="true" customHeight="true" outlineLevel="0" collapsed="false">
      <c r="A295" s="102"/>
      <c r="B295" s="117" t="s">
        <v>574</v>
      </c>
      <c r="C295" s="111"/>
      <c r="D295" s="118" t="s">
        <v>575</v>
      </c>
      <c r="E295" s="113" t="s">
        <v>75</v>
      </c>
      <c r="F295" s="119" t="n">
        <v>0</v>
      </c>
      <c r="G295" s="119" t="n">
        <v>0</v>
      </c>
      <c r="H295" s="115" t="n">
        <f aca="false">IFERROR(SUM($F295:$G295),"")</f>
        <v>0</v>
      </c>
      <c r="J295" s="116"/>
      <c r="K295" s="116"/>
      <c r="L295" s="116"/>
      <c r="M295" s="116"/>
      <c r="N295" s="116"/>
      <c r="O295" s="116"/>
      <c r="P295" s="116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</row>
    <row r="296" customFormat="false" ht="16.5" hidden="true" customHeight="true" outlineLevel="0" collapsed="false">
      <c r="A296" s="102"/>
      <c r="B296" s="117" t="s">
        <v>576</v>
      </c>
      <c r="C296" s="111"/>
      <c r="D296" s="118" t="s">
        <v>577</v>
      </c>
      <c r="E296" s="113" t="s">
        <v>75</v>
      </c>
      <c r="F296" s="119" t="n">
        <v>0</v>
      </c>
      <c r="G296" s="119" t="n">
        <v>0</v>
      </c>
      <c r="H296" s="115" t="n">
        <f aca="false">IFERROR(SUM($F296:$G296),"")</f>
        <v>0</v>
      </c>
      <c r="J296" s="116"/>
      <c r="K296" s="116"/>
      <c r="L296" s="116"/>
      <c r="M296" s="116"/>
      <c r="N296" s="116"/>
      <c r="O296" s="116"/>
      <c r="P296" s="116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</row>
    <row r="297" customFormat="false" ht="16.5" hidden="false" customHeight="true" outlineLevel="0" collapsed="false">
      <c r="A297" s="102"/>
      <c r="B297" s="117" t="s">
        <v>578</v>
      </c>
      <c r="C297" s="111"/>
      <c r="D297" s="118" t="s">
        <v>579</v>
      </c>
      <c r="E297" s="113" t="s">
        <v>75</v>
      </c>
      <c r="F297" s="119" t="n">
        <v>2712</v>
      </c>
      <c r="G297" s="119" t="n">
        <v>0</v>
      </c>
      <c r="H297" s="115" t="n">
        <f aca="false">IFERROR(SUM($F297:$G297),"")</f>
        <v>2712</v>
      </c>
      <c r="J297" s="120" t="n">
        <v>0.12</v>
      </c>
      <c r="K297" s="121" t="n">
        <f aca="false">+$H297*J297</f>
        <v>325.44</v>
      </c>
      <c r="L297" s="122" t="n">
        <v>0.6</v>
      </c>
      <c r="M297" s="122" t="n">
        <v>12</v>
      </c>
      <c r="N297" s="121" t="n">
        <f aca="false">+$H297*L297</f>
        <v>1627.2</v>
      </c>
      <c r="O297" s="121" t="n">
        <f aca="false">+$H297*M297</f>
        <v>32544</v>
      </c>
      <c r="P297" s="121" t="n">
        <f aca="false">+SUM(N297:O297)</f>
        <v>34171.2</v>
      </c>
      <c r="R297" s="109"/>
      <c r="S297" s="109" t="n">
        <f aca="false">+R297*$H297</f>
        <v>0</v>
      </c>
      <c r="T297" s="109" t="n">
        <v>0.59</v>
      </c>
      <c r="U297" s="109" t="n">
        <f aca="false">+T297*$H297</f>
        <v>1600.08</v>
      </c>
      <c r="V297" s="109" t="n">
        <f aca="false">+T297*$V$11</f>
        <v>2.95</v>
      </c>
      <c r="W297" s="109" t="n">
        <f aca="false">+V297*$H297</f>
        <v>8000.4</v>
      </c>
      <c r="X297" s="109" t="n">
        <v>0.18</v>
      </c>
      <c r="Y297" s="109" t="n">
        <f aca="false">+X297*$H297</f>
        <v>488.16</v>
      </c>
      <c r="Z297" s="109" t="n">
        <v>0.15</v>
      </c>
      <c r="AA297" s="109" t="n">
        <f aca="false">+Z297*$H297</f>
        <v>406.8</v>
      </c>
      <c r="AB297" s="109"/>
      <c r="AC297" s="109" t="n">
        <f aca="false">+AB297*$H297</f>
        <v>0</v>
      </c>
      <c r="AD297" s="109" t="n">
        <f aca="false">+R297+V297+X297+Z297+AB297</f>
        <v>3.28</v>
      </c>
      <c r="AE297" s="109" t="n">
        <f aca="false">+AD297*$H297</f>
        <v>8895.36</v>
      </c>
    </row>
    <row r="298" customFormat="false" ht="16.5" hidden="true" customHeight="true" outlineLevel="0" collapsed="false">
      <c r="A298" s="102"/>
      <c r="B298" s="117" t="s">
        <v>580</v>
      </c>
      <c r="C298" s="111"/>
      <c r="D298" s="118" t="s">
        <v>581</v>
      </c>
      <c r="E298" s="113" t="s">
        <v>75</v>
      </c>
      <c r="F298" s="119" t="n">
        <v>0</v>
      </c>
      <c r="G298" s="119" t="n">
        <v>0</v>
      </c>
      <c r="H298" s="115" t="n">
        <f aca="false">IFERROR(SUM($F298:$G298),"")</f>
        <v>0</v>
      </c>
      <c r="J298" s="116"/>
      <c r="K298" s="116"/>
      <c r="L298" s="116"/>
      <c r="M298" s="116"/>
      <c r="N298" s="116"/>
      <c r="O298" s="116"/>
      <c r="P298" s="116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</row>
    <row r="299" customFormat="false" ht="16.5" hidden="true" customHeight="true" outlineLevel="0" collapsed="false">
      <c r="A299" s="102"/>
      <c r="B299" s="110" t="s">
        <v>582</v>
      </c>
      <c r="C299" s="111"/>
      <c r="D299" s="123" t="s">
        <v>583</v>
      </c>
      <c r="E299" s="113"/>
      <c r="F299" s="119" t="n">
        <v>0</v>
      </c>
      <c r="G299" s="119" t="n">
        <v>0</v>
      </c>
      <c r="H299" s="115" t="n">
        <f aca="false">IFERROR(SUM($F299:$G299),"")</f>
        <v>0</v>
      </c>
      <c r="J299" s="116"/>
      <c r="K299" s="116"/>
      <c r="L299" s="116"/>
      <c r="M299" s="116"/>
      <c r="N299" s="116"/>
      <c r="O299" s="116"/>
      <c r="P299" s="116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</row>
    <row r="300" customFormat="false" ht="16.5" hidden="true" customHeight="true" outlineLevel="0" collapsed="false">
      <c r="A300" s="102"/>
      <c r="B300" s="117" t="s">
        <v>584</v>
      </c>
      <c r="C300" s="111"/>
      <c r="D300" s="118" t="s">
        <v>585</v>
      </c>
      <c r="E300" s="113" t="s">
        <v>75</v>
      </c>
      <c r="F300" s="119" t="n">
        <v>0</v>
      </c>
      <c r="G300" s="119" t="n">
        <v>0</v>
      </c>
      <c r="H300" s="115" t="n">
        <f aca="false">IFERROR(SUM($F300:$G300),"")</f>
        <v>0</v>
      </c>
      <c r="J300" s="116"/>
      <c r="K300" s="116"/>
      <c r="L300" s="116"/>
      <c r="M300" s="116"/>
      <c r="N300" s="116"/>
      <c r="O300" s="116"/>
      <c r="P300" s="116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</row>
    <row r="301" customFormat="false" ht="16.5" hidden="true" customHeight="true" outlineLevel="0" collapsed="false">
      <c r="A301" s="102"/>
      <c r="B301" s="117" t="s">
        <v>586</v>
      </c>
      <c r="C301" s="111"/>
      <c r="D301" s="118" t="s">
        <v>587</v>
      </c>
      <c r="E301" s="113" t="s">
        <v>75</v>
      </c>
      <c r="F301" s="119" t="n">
        <v>0</v>
      </c>
      <c r="G301" s="119" t="n">
        <v>0</v>
      </c>
      <c r="H301" s="115" t="n">
        <f aca="false">IFERROR(SUM($F301:$G301),"")</f>
        <v>0</v>
      </c>
      <c r="J301" s="116"/>
      <c r="K301" s="116"/>
      <c r="L301" s="116"/>
      <c r="M301" s="116"/>
      <c r="N301" s="116"/>
      <c r="O301" s="116"/>
      <c r="P301" s="116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</row>
    <row r="302" customFormat="false" ht="16.5" hidden="true" customHeight="true" outlineLevel="0" collapsed="false">
      <c r="A302" s="102"/>
      <c r="B302" s="117" t="s">
        <v>588</v>
      </c>
      <c r="C302" s="111"/>
      <c r="D302" s="118" t="s">
        <v>589</v>
      </c>
      <c r="E302" s="113" t="s">
        <v>75</v>
      </c>
      <c r="F302" s="119" t="n">
        <v>0</v>
      </c>
      <c r="G302" s="119" t="n">
        <v>0</v>
      </c>
      <c r="H302" s="115" t="n">
        <f aca="false">IFERROR(SUM($F302:$G302),"")</f>
        <v>0</v>
      </c>
      <c r="J302" s="116"/>
      <c r="K302" s="116"/>
      <c r="L302" s="116"/>
      <c r="M302" s="116"/>
      <c r="N302" s="116"/>
      <c r="O302" s="116"/>
      <c r="P302" s="116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</row>
    <row r="303" customFormat="false" ht="16.5" hidden="true" customHeight="true" outlineLevel="0" collapsed="false">
      <c r="A303" s="102"/>
      <c r="B303" s="117" t="s">
        <v>590</v>
      </c>
      <c r="C303" s="111"/>
      <c r="D303" s="118" t="s">
        <v>591</v>
      </c>
      <c r="E303" s="113" t="s">
        <v>75</v>
      </c>
      <c r="F303" s="119" t="n">
        <v>0</v>
      </c>
      <c r="G303" s="119" t="n">
        <v>0</v>
      </c>
      <c r="H303" s="115" t="n">
        <f aca="false">IFERROR(SUM($F303:$G303),"")</f>
        <v>0</v>
      </c>
      <c r="J303" s="116"/>
      <c r="K303" s="116"/>
      <c r="L303" s="116"/>
      <c r="M303" s="116"/>
      <c r="N303" s="116"/>
      <c r="O303" s="116"/>
      <c r="P303" s="116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</row>
    <row r="304" customFormat="false" ht="16.5" hidden="true" customHeight="true" outlineLevel="0" collapsed="false">
      <c r="A304" s="150"/>
      <c r="B304" s="117" t="s">
        <v>592</v>
      </c>
      <c r="C304" s="111"/>
      <c r="D304" s="118" t="s">
        <v>593</v>
      </c>
      <c r="E304" s="113" t="s">
        <v>75</v>
      </c>
      <c r="F304" s="119" t="n">
        <v>0</v>
      </c>
      <c r="G304" s="119" t="n">
        <v>0</v>
      </c>
      <c r="H304" s="115" t="n">
        <f aca="false">IFERROR(SUM($F304:$G304),"")</f>
        <v>0</v>
      </c>
      <c r="J304" s="116"/>
      <c r="K304" s="116"/>
      <c r="L304" s="116"/>
      <c r="M304" s="116"/>
      <c r="N304" s="116"/>
      <c r="O304" s="116"/>
      <c r="P304" s="116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</row>
    <row r="305" customFormat="false" ht="16.5" hidden="true" customHeight="true" outlineLevel="0" collapsed="false">
      <c r="A305" s="150"/>
      <c r="B305" s="117" t="s">
        <v>594</v>
      </c>
      <c r="C305" s="111"/>
      <c r="D305" s="118" t="s">
        <v>595</v>
      </c>
      <c r="E305" s="113" t="s">
        <v>75</v>
      </c>
      <c r="F305" s="119" t="n">
        <v>0</v>
      </c>
      <c r="G305" s="119" t="n">
        <v>0</v>
      </c>
      <c r="H305" s="115" t="n">
        <f aca="false">IFERROR(SUM($F305:$G305),"")</f>
        <v>0</v>
      </c>
      <c r="J305" s="116"/>
      <c r="K305" s="116"/>
      <c r="L305" s="116"/>
      <c r="M305" s="116"/>
      <c r="N305" s="116"/>
      <c r="O305" s="116"/>
      <c r="P305" s="116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</row>
    <row r="306" customFormat="false" ht="16.5" hidden="true" customHeight="true" outlineLevel="0" collapsed="false">
      <c r="A306" s="150"/>
      <c r="B306" s="117" t="s">
        <v>596</v>
      </c>
      <c r="C306" s="111"/>
      <c r="D306" s="118" t="s">
        <v>597</v>
      </c>
      <c r="E306" s="113" t="s">
        <v>75</v>
      </c>
      <c r="F306" s="119" t="n">
        <v>0</v>
      </c>
      <c r="G306" s="119" t="n">
        <v>0</v>
      </c>
      <c r="H306" s="115" t="n">
        <f aca="false">IFERROR(SUM($F306:$G306),"")</f>
        <v>0</v>
      </c>
      <c r="J306" s="116"/>
      <c r="K306" s="116"/>
      <c r="L306" s="116"/>
      <c r="M306" s="116"/>
      <c r="N306" s="116"/>
      <c r="O306" s="116"/>
      <c r="P306" s="116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</row>
    <row r="307" customFormat="false" ht="16.5" hidden="true" customHeight="true" outlineLevel="0" collapsed="false">
      <c r="A307" s="150"/>
      <c r="B307" s="117" t="s">
        <v>598</v>
      </c>
      <c r="C307" s="111"/>
      <c r="D307" s="118" t="s">
        <v>599</v>
      </c>
      <c r="E307" s="113" t="s">
        <v>75</v>
      </c>
      <c r="F307" s="119" t="n">
        <v>0</v>
      </c>
      <c r="G307" s="119" t="n">
        <v>0</v>
      </c>
      <c r="H307" s="115" t="n">
        <f aca="false">IFERROR(SUM($F307:$G307),"")</f>
        <v>0</v>
      </c>
      <c r="J307" s="116"/>
      <c r="K307" s="116"/>
      <c r="L307" s="116"/>
      <c r="M307" s="116"/>
      <c r="N307" s="116"/>
      <c r="O307" s="116"/>
      <c r="P307" s="116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</row>
    <row r="308" customFormat="false" ht="16.5" hidden="false" customHeight="true" outlineLevel="0" collapsed="false">
      <c r="A308" s="102"/>
      <c r="B308" s="110" t="s">
        <v>600</v>
      </c>
      <c r="C308" s="111"/>
      <c r="D308" s="123" t="s">
        <v>601</v>
      </c>
      <c r="E308" s="113"/>
      <c r="F308" s="119" t="n">
        <v>0</v>
      </c>
      <c r="G308" s="119" t="n">
        <v>0</v>
      </c>
      <c r="H308" s="115" t="n">
        <f aca="false">IFERROR(SUM($F308:$G308),"")</f>
        <v>0</v>
      </c>
      <c r="J308" s="116"/>
      <c r="K308" s="116"/>
      <c r="L308" s="116"/>
      <c r="M308" s="116"/>
      <c r="N308" s="116"/>
      <c r="O308" s="116"/>
      <c r="P308" s="116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</row>
    <row r="309" customFormat="false" ht="16.5" hidden="false" customHeight="true" outlineLevel="0" collapsed="false">
      <c r="A309" s="102"/>
      <c r="B309" s="117" t="s">
        <v>602</v>
      </c>
      <c r="C309" s="111"/>
      <c r="D309" s="118" t="s">
        <v>603</v>
      </c>
      <c r="E309" s="113" t="s">
        <v>75</v>
      </c>
      <c r="F309" s="119" t="n">
        <v>572</v>
      </c>
      <c r="G309" s="119" t="n">
        <v>0</v>
      </c>
      <c r="H309" s="115" t="n">
        <f aca="false">IFERROR(SUM($F309:$G309),"")</f>
        <v>572</v>
      </c>
      <c r="J309" s="120" t="n">
        <v>0.28</v>
      </c>
      <c r="K309" s="121" t="n">
        <f aca="false">+$H309*J309</f>
        <v>160.16</v>
      </c>
      <c r="L309" s="122" t="n">
        <v>1.4</v>
      </c>
      <c r="M309" s="122" t="n">
        <v>5</v>
      </c>
      <c r="N309" s="121" t="n">
        <f aca="false">+$H309*L309</f>
        <v>800.8</v>
      </c>
      <c r="O309" s="121" t="n">
        <f aca="false">+$H309*M309</f>
        <v>2860</v>
      </c>
      <c r="P309" s="121" t="n">
        <f aca="false">+SUM(N309:O309)</f>
        <v>3660.8</v>
      </c>
      <c r="R309" s="109" t="n">
        <v>39.592</v>
      </c>
      <c r="S309" s="109" t="n">
        <f aca="false">+R309*$H309</f>
        <v>22646.624</v>
      </c>
      <c r="T309" s="109" t="n">
        <v>9.386</v>
      </c>
      <c r="U309" s="109" t="n">
        <f aca="false">+T309*$H309</f>
        <v>5368.792</v>
      </c>
      <c r="V309" s="109" t="n">
        <f aca="false">+T309*$V$11</f>
        <v>46.93</v>
      </c>
      <c r="W309" s="109" t="n">
        <f aca="false">+V309*$H309</f>
        <v>26843.96</v>
      </c>
      <c r="X309" s="109" t="n">
        <v>3.86</v>
      </c>
      <c r="Y309" s="109" t="n">
        <f aca="false">+X309*$H309</f>
        <v>2207.92</v>
      </c>
      <c r="Z309" s="109" t="n">
        <v>6.71</v>
      </c>
      <c r="AA309" s="109" t="n">
        <f aca="false">+Z309*$H309</f>
        <v>3838.12</v>
      </c>
      <c r="AB309" s="109"/>
      <c r="AC309" s="109" t="n">
        <f aca="false">+AB309*$H309</f>
        <v>0</v>
      </c>
      <c r="AD309" s="109" t="n">
        <f aca="false">+R309+V309+X309+Z309+AB309</f>
        <v>97.092</v>
      </c>
      <c r="AE309" s="109" t="n">
        <f aca="false">+AD309*$H309</f>
        <v>55536.624</v>
      </c>
    </row>
    <row r="310" customFormat="false" ht="16.5" hidden="false" customHeight="true" outlineLevel="0" collapsed="false">
      <c r="A310" s="102"/>
      <c r="B310" s="117" t="s">
        <v>604</v>
      </c>
      <c r="C310" s="111"/>
      <c r="D310" s="118" t="s">
        <v>605</v>
      </c>
      <c r="E310" s="113" t="s">
        <v>75</v>
      </c>
      <c r="F310" s="119" t="n">
        <v>1143</v>
      </c>
      <c r="G310" s="119" t="n">
        <v>0</v>
      </c>
      <c r="H310" s="115" t="n">
        <f aca="false">IFERROR(SUM($F310:$G310),"")</f>
        <v>1143</v>
      </c>
      <c r="J310" s="120" t="n">
        <v>0.32</v>
      </c>
      <c r="K310" s="121" t="n">
        <f aca="false">+$H310*J310</f>
        <v>365.76</v>
      </c>
      <c r="L310" s="122" t="n">
        <v>1.6</v>
      </c>
      <c r="M310" s="122" t="n">
        <v>7</v>
      </c>
      <c r="N310" s="121" t="n">
        <f aca="false">+$H310*L310</f>
        <v>1828.8</v>
      </c>
      <c r="O310" s="121" t="n">
        <f aca="false">+$H310*M310</f>
        <v>8001</v>
      </c>
      <c r="P310" s="121" t="n">
        <f aca="false">+SUM(N310:O310)</f>
        <v>9829.8</v>
      </c>
      <c r="R310" s="109"/>
      <c r="S310" s="109" t="n">
        <f aca="false">+R310*$H310</f>
        <v>0</v>
      </c>
      <c r="T310" s="109"/>
      <c r="U310" s="109" t="n">
        <f aca="false">+T310*$H310</f>
        <v>0</v>
      </c>
      <c r="V310" s="109" t="n">
        <f aca="false">+T310*$V$11</f>
        <v>0</v>
      </c>
      <c r="W310" s="109" t="n">
        <f aca="false">+V310*$H310</f>
        <v>0</v>
      </c>
      <c r="X310" s="109"/>
      <c r="Y310" s="109" t="n">
        <f aca="false">+X310*$H310</f>
        <v>0</v>
      </c>
      <c r="Z310" s="109"/>
      <c r="AA310" s="109" t="n">
        <f aca="false">+Z310*$H310</f>
        <v>0</v>
      </c>
      <c r="AB310" s="109"/>
      <c r="AC310" s="109" t="n">
        <f aca="false">+AB310*$H310</f>
        <v>0</v>
      </c>
      <c r="AD310" s="109" t="n">
        <f aca="false">+R310+V310+X310+Z310+AB310</f>
        <v>0</v>
      </c>
      <c r="AE310" s="109" t="n">
        <f aca="false">+AD310*$H310</f>
        <v>0</v>
      </c>
    </row>
    <row r="311" customFormat="false" ht="16.5" hidden="true" customHeight="true" outlineLevel="0" collapsed="false">
      <c r="A311" s="102"/>
      <c r="B311" s="117" t="s">
        <v>606</v>
      </c>
      <c r="C311" s="111"/>
      <c r="D311" s="118" t="s">
        <v>607</v>
      </c>
      <c r="E311" s="113" t="s">
        <v>75</v>
      </c>
      <c r="F311" s="119" t="n">
        <v>0</v>
      </c>
      <c r="G311" s="119" t="n">
        <v>0</v>
      </c>
      <c r="H311" s="115" t="n">
        <f aca="false">IFERROR(SUM($F311:$G311),"")</f>
        <v>0</v>
      </c>
      <c r="J311" s="116"/>
      <c r="K311" s="116"/>
      <c r="L311" s="116"/>
      <c r="M311" s="116"/>
      <c r="N311" s="116"/>
      <c r="O311" s="116"/>
      <c r="P311" s="116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</row>
    <row r="312" customFormat="false" ht="16.5" hidden="false" customHeight="true" outlineLevel="0" collapsed="false">
      <c r="A312" s="102"/>
      <c r="B312" s="117" t="s">
        <v>608</v>
      </c>
      <c r="C312" s="111"/>
      <c r="D312" s="118" t="s">
        <v>609</v>
      </c>
      <c r="E312" s="113" t="s">
        <v>75</v>
      </c>
      <c r="F312" s="119" t="n">
        <v>320</v>
      </c>
      <c r="G312" s="119" t="n">
        <v>0</v>
      </c>
      <c r="H312" s="115" t="n">
        <f aca="false">IFERROR(SUM($F312:$G312),"")</f>
        <v>320</v>
      </c>
      <c r="J312" s="120" t="n">
        <v>0.4</v>
      </c>
      <c r="K312" s="121" t="n">
        <f aca="false">+$H312*J312</f>
        <v>128</v>
      </c>
      <c r="L312" s="122" t="n">
        <v>2</v>
      </c>
      <c r="M312" s="122" t="n">
        <v>11</v>
      </c>
      <c r="N312" s="121" t="n">
        <f aca="false">+$H312*L312</f>
        <v>640</v>
      </c>
      <c r="O312" s="121" t="n">
        <f aca="false">+$H312*M312</f>
        <v>3520</v>
      </c>
      <c r="P312" s="121" t="n">
        <f aca="false">+SUM(N312:O312)</f>
        <v>4160</v>
      </c>
      <c r="R312" s="109"/>
      <c r="S312" s="109" t="n">
        <f aca="false">+R312*$H312</f>
        <v>0</v>
      </c>
      <c r="T312" s="109"/>
      <c r="U312" s="109" t="n">
        <f aca="false">+T312*$H312</f>
        <v>0</v>
      </c>
      <c r="V312" s="109" t="n">
        <f aca="false">+T312*$V$11</f>
        <v>0</v>
      </c>
      <c r="W312" s="109" t="n">
        <f aca="false">+V312*$H312</f>
        <v>0</v>
      </c>
      <c r="X312" s="109"/>
      <c r="Y312" s="109" t="n">
        <f aca="false">+X312*$H312</f>
        <v>0</v>
      </c>
      <c r="Z312" s="109"/>
      <c r="AA312" s="109" t="n">
        <f aca="false">+Z312*$H312</f>
        <v>0</v>
      </c>
      <c r="AB312" s="109"/>
      <c r="AC312" s="109" t="n">
        <f aca="false">+AB312*$H312</f>
        <v>0</v>
      </c>
      <c r="AD312" s="109" t="n">
        <f aca="false">+R312+V312+X312+Z312+AB312</f>
        <v>0</v>
      </c>
      <c r="AE312" s="109" t="n">
        <f aca="false">+AD312*$H312</f>
        <v>0</v>
      </c>
    </row>
    <row r="313" customFormat="false" ht="16.5" hidden="false" customHeight="true" outlineLevel="0" collapsed="false">
      <c r="A313" s="102"/>
      <c r="B313" s="117" t="s">
        <v>610</v>
      </c>
      <c r="C313" s="111"/>
      <c r="D313" s="118" t="s">
        <v>611</v>
      </c>
      <c r="E313" s="113" t="s">
        <v>75</v>
      </c>
      <c r="F313" s="119" t="n">
        <v>644</v>
      </c>
      <c r="G313" s="119" t="n">
        <v>0</v>
      </c>
      <c r="H313" s="115" t="n">
        <f aca="false">IFERROR(SUM($F313:$G313),"")</f>
        <v>644</v>
      </c>
      <c r="J313" s="120" t="n">
        <v>0.45</v>
      </c>
      <c r="K313" s="121" t="n">
        <f aca="false">+$H313*J313</f>
        <v>289.8</v>
      </c>
      <c r="L313" s="122" t="n">
        <v>2.25</v>
      </c>
      <c r="M313" s="122" t="n">
        <v>14</v>
      </c>
      <c r="N313" s="121" t="n">
        <f aca="false">+$H313*L313</f>
        <v>1449</v>
      </c>
      <c r="O313" s="121" t="n">
        <f aca="false">+$H313*M313</f>
        <v>9016</v>
      </c>
      <c r="P313" s="121" t="n">
        <f aca="false">+SUM(N313:O313)</f>
        <v>10465</v>
      </c>
      <c r="R313" s="109"/>
      <c r="S313" s="109" t="n">
        <f aca="false">+R313*$H313</f>
        <v>0</v>
      </c>
      <c r="T313" s="109"/>
      <c r="U313" s="109" t="n">
        <f aca="false">+T313*$H313</f>
        <v>0</v>
      </c>
      <c r="V313" s="109" t="n">
        <f aca="false">+T313*$V$11</f>
        <v>0</v>
      </c>
      <c r="W313" s="109" t="n">
        <f aca="false">+V313*$H313</f>
        <v>0</v>
      </c>
      <c r="X313" s="109"/>
      <c r="Y313" s="109" t="n">
        <f aca="false">+X313*$H313</f>
        <v>0</v>
      </c>
      <c r="Z313" s="109"/>
      <c r="AA313" s="109" t="n">
        <f aca="false">+Z313*$H313</f>
        <v>0</v>
      </c>
      <c r="AB313" s="109"/>
      <c r="AC313" s="109" t="n">
        <f aca="false">+AB313*$H313</f>
        <v>0</v>
      </c>
      <c r="AD313" s="109" t="n">
        <f aca="false">+R313+V313+X313+Z313+AB313</f>
        <v>0</v>
      </c>
      <c r="AE313" s="109" t="n">
        <f aca="false">+AD313*$H313</f>
        <v>0</v>
      </c>
    </row>
    <row r="314" customFormat="false" ht="16.5" hidden="false" customHeight="true" outlineLevel="0" collapsed="false">
      <c r="A314" s="150"/>
      <c r="B314" s="117" t="s">
        <v>612</v>
      </c>
      <c r="C314" s="111"/>
      <c r="D314" s="118" t="s">
        <v>613</v>
      </c>
      <c r="E314" s="113" t="s">
        <v>75</v>
      </c>
      <c r="F314" s="119" t="n">
        <v>208</v>
      </c>
      <c r="G314" s="119" t="n">
        <v>0</v>
      </c>
      <c r="H314" s="115" t="n">
        <f aca="false">IFERROR(SUM($F314:$G314),"")</f>
        <v>208</v>
      </c>
      <c r="J314" s="120" t="n">
        <v>0.48</v>
      </c>
      <c r="K314" s="121" t="n">
        <f aca="false">+$H314*J314</f>
        <v>99.84</v>
      </c>
      <c r="L314" s="122" t="n">
        <v>2.4</v>
      </c>
      <c r="M314" s="122" t="n">
        <v>18</v>
      </c>
      <c r="N314" s="121" t="n">
        <f aca="false">+$H314*L314</f>
        <v>499.2</v>
      </c>
      <c r="O314" s="121" t="n">
        <f aca="false">+$H314*M314</f>
        <v>3744</v>
      </c>
      <c r="P314" s="121" t="n">
        <f aca="false">+SUM(N314:O314)</f>
        <v>4243.2</v>
      </c>
      <c r="R314" s="109"/>
      <c r="S314" s="109" t="n">
        <f aca="false">+R314*$H314</f>
        <v>0</v>
      </c>
      <c r="T314" s="109"/>
      <c r="U314" s="109" t="n">
        <f aca="false">+T314*$H314</f>
        <v>0</v>
      </c>
      <c r="V314" s="109" t="n">
        <f aca="false">+T314*$V$11</f>
        <v>0</v>
      </c>
      <c r="W314" s="109" t="n">
        <f aca="false">+V314*$H314</f>
        <v>0</v>
      </c>
      <c r="X314" s="109"/>
      <c r="Y314" s="109" t="n">
        <f aca="false">+X314*$H314</f>
        <v>0</v>
      </c>
      <c r="Z314" s="109"/>
      <c r="AA314" s="109" t="n">
        <f aca="false">+Z314*$H314</f>
        <v>0</v>
      </c>
      <c r="AB314" s="109"/>
      <c r="AC314" s="109" t="n">
        <f aca="false">+AB314*$H314</f>
        <v>0</v>
      </c>
      <c r="AD314" s="109" t="n">
        <f aca="false">+R314+V314+X314+Z314+AB314</f>
        <v>0</v>
      </c>
      <c r="AE314" s="109" t="n">
        <f aca="false">+AD314*$H314</f>
        <v>0</v>
      </c>
    </row>
    <row r="315" customFormat="false" ht="16.5" hidden="true" customHeight="true" outlineLevel="0" collapsed="false">
      <c r="A315" s="150"/>
      <c r="B315" s="117" t="s">
        <v>614</v>
      </c>
      <c r="C315" s="111"/>
      <c r="D315" s="118" t="s">
        <v>615</v>
      </c>
      <c r="E315" s="113" t="s">
        <v>75</v>
      </c>
      <c r="F315" s="119" t="n">
        <v>0</v>
      </c>
      <c r="G315" s="119" t="n">
        <v>0</v>
      </c>
      <c r="H315" s="115" t="n">
        <f aca="false">IFERROR(SUM($F315:$G315),"")</f>
        <v>0</v>
      </c>
      <c r="J315" s="116"/>
      <c r="K315" s="116"/>
      <c r="L315" s="116"/>
      <c r="M315" s="116"/>
      <c r="N315" s="116"/>
      <c r="O315" s="116"/>
      <c r="P315" s="116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</row>
    <row r="316" customFormat="false" ht="16.5" hidden="true" customHeight="true" outlineLevel="0" collapsed="false">
      <c r="A316" s="150"/>
      <c r="B316" s="117" t="s">
        <v>616</v>
      </c>
      <c r="C316" s="111"/>
      <c r="D316" s="118" t="s">
        <v>617</v>
      </c>
      <c r="E316" s="113" t="s">
        <v>75</v>
      </c>
      <c r="F316" s="119" t="n">
        <v>0</v>
      </c>
      <c r="G316" s="119" t="n">
        <v>0</v>
      </c>
      <c r="H316" s="115" t="n">
        <f aca="false">IFERROR(SUM($F316:$G316),"")</f>
        <v>0</v>
      </c>
      <c r="J316" s="116"/>
      <c r="K316" s="116"/>
      <c r="L316" s="116"/>
      <c r="M316" s="116"/>
      <c r="N316" s="116"/>
      <c r="O316" s="116"/>
      <c r="P316" s="116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</row>
    <row r="317" customFormat="false" ht="16.5" hidden="true" customHeight="true" outlineLevel="0" collapsed="false">
      <c r="A317" s="102"/>
      <c r="B317" s="110" t="s">
        <v>618</v>
      </c>
      <c r="C317" s="111"/>
      <c r="D317" s="123" t="s">
        <v>619</v>
      </c>
      <c r="E317" s="113"/>
      <c r="F317" s="119" t="n">
        <v>0</v>
      </c>
      <c r="G317" s="119" t="n">
        <v>0</v>
      </c>
      <c r="H317" s="115" t="n">
        <f aca="false">IFERROR(SUM($F317:$G317),"")</f>
        <v>0</v>
      </c>
      <c r="J317" s="116"/>
      <c r="K317" s="116"/>
      <c r="L317" s="116"/>
      <c r="M317" s="116"/>
      <c r="N317" s="116"/>
      <c r="O317" s="116"/>
      <c r="P317" s="116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</row>
    <row r="318" customFormat="false" ht="16.5" hidden="true" customHeight="true" outlineLevel="0" collapsed="false">
      <c r="A318" s="102"/>
      <c r="B318" s="117" t="s">
        <v>620</v>
      </c>
      <c r="C318" s="111"/>
      <c r="D318" s="118" t="s">
        <v>328</v>
      </c>
      <c r="E318" s="113" t="s">
        <v>75</v>
      </c>
      <c r="F318" s="119" t="n">
        <v>0</v>
      </c>
      <c r="G318" s="119" t="n">
        <v>0</v>
      </c>
      <c r="H318" s="115" t="n">
        <f aca="false">IFERROR(SUM($F318:$G318),"")</f>
        <v>0</v>
      </c>
      <c r="J318" s="116"/>
      <c r="K318" s="116"/>
      <c r="L318" s="116"/>
      <c r="M318" s="116"/>
      <c r="N318" s="116"/>
      <c r="O318" s="116"/>
      <c r="P318" s="116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</row>
    <row r="319" customFormat="false" ht="16.5" hidden="true" customHeight="true" outlineLevel="0" collapsed="false">
      <c r="A319" s="102"/>
      <c r="B319" s="117" t="s">
        <v>621</v>
      </c>
      <c r="C319" s="111"/>
      <c r="D319" s="118" t="s">
        <v>330</v>
      </c>
      <c r="E319" s="113" t="s">
        <v>75</v>
      </c>
      <c r="F319" s="119" t="n">
        <v>0</v>
      </c>
      <c r="G319" s="119" t="n">
        <v>0</v>
      </c>
      <c r="H319" s="115" t="n">
        <f aca="false">IFERROR(SUM($F319:$G319),"")</f>
        <v>0</v>
      </c>
      <c r="J319" s="116"/>
      <c r="K319" s="116"/>
      <c r="L319" s="116"/>
      <c r="M319" s="116"/>
      <c r="N319" s="116"/>
      <c r="O319" s="116"/>
      <c r="P319" s="116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</row>
    <row r="320" customFormat="false" ht="16.5" hidden="true" customHeight="true" outlineLevel="0" collapsed="false">
      <c r="A320" s="102"/>
      <c r="B320" s="117" t="s">
        <v>622</v>
      </c>
      <c r="C320" s="111"/>
      <c r="D320" s="118" t="s">
        <v>332</v>
      </c>
      <c r="E320" s="113" t="s">
        <v>75</v>
      </c>
      <c r="F320" s="119" t="n">
        <v>0</v>
      </c>
      <c r="G320" s="119" t="n">
        <v>0</v>
      </c>
      <c r="H320" s="115" t="n">
        <f aca="false">IFERROR(SUM($F320:$G320),"")</f>
        <v>0</v>
      </c>
      <c r="J320" s="116"/>
      <c r="K320" s="116"/>
      <c r="L320" s="116"/>
      <c r="M320" s="116"/>
      <c r="N320" s="116"/>
      <c r="O320" s="116"/>
      <c r="P320" s="116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</row>
    <row r="321" customFormat="false" ht="16.5" hidden="true" customHeight="true" outlineLevel="0" collapsed="false">
      <c r="A321" s="102"/>
      <c r="B321" s="117" t="s">
        <v>623</v>
      </c>
      <c r="C321" s="111"/>
      <c r="D321" s="118" t="s">
        <v>334</v>
      </c>
      <c r="E321" s="113" t="s">
        <v>75</v>
      </c>
      <c r="F321" s="119" t="n">
        <v>0</v>
      </c>
      <c r="G321" s="119" t="n">
        <v>0</v>
      </c>
      <c r="H321" s="115" t="n">
        <f aca="false">IFERROR(SUM($F321:$G321),"")</f>
        <v>0</v>
      </c>
      <c r="J321" s="116"/>
      <c r="K321" s="116"/>
      <c r="L321" s="116"/>
      <c r="M321" s="116"/>
      <c r="N321" s="116"/>
      <c r="O321" s="116"/>
      <c r="P321" s="116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</row>
    <row r="322" customFormat="false" ht="16.5" hidden="true" customHeight="true" outlineLevel="0" collapsed="false">
      <c r="A322" s="102"/>
      <c r="B322" s="117" t="s">
        <v>624</v>
      </c>
      <c r="C322" s="111"/>
      <c r="D322" s="118" t="s">
        <v>336</v>
      </c>
      <c r="E322" s="113" t="s">
        <v>75</v>
      </c>
      <c r="F322" s="119" t="n">
        <v>0</v>
      </c>
      <c r="G322" s="119" t="n">
        <v>0</v>
      </c>
      <c r="H322" s="115" t="n">
        <f aca="false">IFERROR(SUM($F322:$G322),"")</f>
        <v>0</v>
      </c>
      <c r="J322" s="116"/>
      <c r="K322" s="116"/>
      <c r="L322" s="116"/>
      <c r="M322" s="116"/>
      <c r="N322" s="116"/>
      <c r="O322" s="116"/>
      <c r="P322" s="116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</row>
    <row r="323" customFormat="false" ht="16.5" hidden="true" customHeight="true" outlineLevel="0" collapsed="false">
      <c r="A323" s="150"/>
      <c r="B323" s="117" t="s">
        <v>625</v>
      </c>
      <c r="C323" s="111"/>
      <c r="D323" s="118" t="s">
        <v>338</v>
      </c>
      <c r="E323" s="113" t="s">
        <v>75</v>
      </c>
      <c r="F323" s="119" t="n">
        <v>0</v>
      </c>
      <c r="G323" s="119" t="n">
        <v>0</v>
      </c>
      <c r="H323" s="115" t="n">
        <f aca="false">IFERROR(SUM($F323:$G323),"")</f>
        <v>0</v>
      </c>
      <c r="J323" s="116"/>
      <c r="K323" s="116"/>
      <c r="L323" s="116"/>
      <c r="M323" s="116"/>
      <c r="N323" s="116"/>
      <c r="O323" s="116"/>
      <c r="P323" s="116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</row>
    <row r="324" customFormat="false" ht="16.5" hidden="true" customHeight="true" outlineLevel="0" collapsed="false">
      <c r="A324" s="102"/>
      <c r="B324" s="117" t="s">
        <v>626</v>
      </c>
      <c r="C324" s="111"/>
      <c r="D324" s="118" t="s">
        <v>340</v>
      </c>
      <c r="E324" s="113" t="s">
        <v>75</v>
      </c>
      <c r="F324" s="119" t="n">
        <v>0</v>
      </c>
      <c r="G324" s="119" t="n">
        <v>0</v>
      </c>
      <c r="H324" s="115" t="n">
        <f aca="false">IFERROR(SUM($F324:$G324),"")</f>
        <v>0</v>
      </c>
      <c r="J324" s="116"/>
      <c r="K324" s="116"/>
      <c r="L324" s="116"/>
      <c r="M324" s="116"/>
      <c r="N324" s="116"/>
      <c r="O324" s="116"/>
      <c r="P324" s="116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</row>
    <row r="325" customFormat="false" ht="16.5" hidden="true" customHeight="true" outlineLevel="0" collapsed="false">
      <c r="A325" s="102"/>
      <c r="B325" s="117" t="s">
        <v>627</v>
      </c>
      <c r="C325" s="111"/>
      <c r="D325" s="118" t="s">
        <v>342</v>
      </c>
      <c r="E325" s="113" t="s">
        <v>75</v>
      </c>
      <c r="F325" s="119" t="n">
        <v>0</v>
      </c>
      <c r="G325" s="119" t="n">
        <v>0</v>
      </c>
      <c r="H325" s="115" t="n">
        <f aca="false">IFERROR(SUM($F325:$G325),"")</f>
        <v>0</v>
      </c>
      <c r="J325" s="116"/>
      <c r="K325" s="116"/>
      <c r="L325" s="116"/>
      <c r="M325" s="116"/>
      <c r="N325" s="116"/>
      <c r="O325" s="116"/>
      <c r="P325" s="116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</row>
    <row r="326" customFormat="false" ht="16.5" hidden="true" customHeight="true" outlineLevel="0" collapsed="false">
      <c r="A326" s="102"/>
      <c r="B326" s="117" t="s">
        <v>628</v>
      </c>
      <c r="C326" s="111"/>
      <c r="D326" s="118" t="s">
        <v>344</v>
      </c>
      <c r="E326" s="113" t="s">
        <v>75</v>
      </c>
      <c r="F326" s="119" t="n">
        <v>0</v>
      </c>
      <c r="G326" s="119" t="n">
        <v>0</v>
      </c>
      <c r="H326" s="115" t="n">
        <f aca="false">IFERROR(SUM($F326:$G326),"")</f>
        <v>0</v>
      </c>
      <c r="J326" s="116"/>
      <c r="K326" s="116"/>
      <c r="L326" s="116"/>
      <c r="M326" s="116"/>
      <c r="N326" s="116"/>
      <c r="O326" s="116"/>
      <c r="P326" s="116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</row>
    <row r="327" customFormat="false" ht="16.5" hidden="true" customHeight="true" outlineLevel="0" collapsed="false">
      <c r="A327" s="102"/>
      <c r="B327" s="117" t="s">
        <v>629</v>
      </c>
      <c r="C327" s="111"/>
      <c r="D327" s="118" t="s">
        <v>346</v>
      </c>
      <c r="E327" s="113" t="s">
        <v>75</v>
      </c>
      <c r="F327" s="119" t="n">
        <v>0</v>
      </c>
      <c r="G327" s="119" t="n">
        <v>0</v>
      </c>
      <c r="H327" s="115" t="n">
        <f aca="false">IFERROR(SUM($F327:$G327),"")</f>
        <v>0</v>
      </c>
      <c r="J327" s="116"/>
      <c r="K327" s="116"/>
      <c r="L327" s="116"/>
      <c r="M327" s="116"/>
      <c r="N327" s="116"/>
      <c r="O327" s="116"/>
      <c r="P327" s="116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</row>
    <row r="328" customFormat="false" ht="16.5" hidden="true" customHeight="true" outlineLevel="0" collapsed="false">
      <c r="A328" s="102"/>
      <c r="B328" s="117" t="s">
        <v>630</v>
      </c>
      <c r="C328" s="111"/>
      <c r="D328" s="118" t="s">
        <v>348</v>
      </c>
      <c r="E328" s="113" t="s">
        <v>75</v>
      </c>
      <c r="F328" s="119" t="n">
        <v>0</v>
      </c>
      <c r="G328" s="119" t="n">
        <v>0</v>
      </c>
      <c r="H328" s="115" t="n">
        <f aca="false">IFERROR(SUM($F328:$G328),"")</f>
        <v>0</v>
      </c>
      <c r="J328" s="116"/>
      <c r="K328" s="116"/>
      <c r="L328" s="116"/>
      <c r="M328" s="116"/>
      <c r="N328" s="116"/>
      <c r="O328" s="116"/>
      <c r="P328" s="116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</row>
    <row r="329" customFormat="false" ht="16.5" hidden="true" customHeight="true" outlineLevel="0" collapsed="false">
      <c r="A329" s="102"/>
      <c r="B329" s="117" t="s">
        <v>631</v>
      </c>
      <c r="C329" s="111"/>
      <c r="D329" s="118" t="s">
        <v>350</v>
      </c>
      <c r="E329" s="113" t="s">
        <v>75</v>
      </c>
      <c r="F329" s="119" t="n">
        <v>0</v>
      </c>
      <c r="G329" s="119" t="n">
        <v>0</v>
      </c>
      <c r="H329" s="115" t="n">
        <f aca="false">IFERROR(SUM($F329:$G329),"")</f>
        <v>0</v>
      </c>
      <c r="J329" s="116"/>
      <c r="K329" s="116"/>
      <c r="L329" s="116"/>
      <c r="M329" s="116"/>
      <c r="N329" s="116"/>
      <c r="O329" s="116"/>
      <c r="P329" s="116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</row>
    <row r="330" customFormat="false" ht="16.5" hidden="true" customHeight="true" outlineLevel="0" collapsed="false">
      <c r="A330" s="102"/>
      <c r="B330" s="117" t="s">
        <v>632</v>
      </c>
      <c r="C330" s="111"/>
      <c r="D330" s="118" t="s">
        <v>352</v>
      </c>
      <c r="E330" s="113" t="s">
        <v>75</v>
      </c>
      <c r="F330" s="119" t="n">
        <v>0</v>
      </c>
      <c r="G330" s="119" t="n">
        <v>0</v>
      </c>
      <c r="H330" s="115" t="n">
        <f aca="false">IFERROR(SUM($F330:$G330),"")</f>
        <v>0</v>
      </c>
      <c r="J330" s="116"/>
      <c r="K330" s="116"/>
      <c r="L330" s="116"/>
      <c r="M330" s="116"/>
      <c r="N330" s="116"/>
      <c r="O330" s="116"/>
      <c r="P330" s="116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</row>
    <row r="331" customFormat="false" ht="16.5" hidden="true" customHeight="true" outlineLevel="0" collapsed="false">
      <c r="A331" s="102"/>
      <c r="B331" s="117" t="s">
        <v>633</v>
      </c>
      <c r="C331" s="111"/>
      <c r="D331" s="118" t="s">
        <v>354</v>
      </c>
      <c r="E331" s="113" t="s">
        <v>75</v>
      </c>
      <c r="F331" s="119" t="n">
        <v>0</v>
      </c>
      <c r="G331" s="119" t="n">
        <v>0</v>
      </c>
      <c r="H331" s="115" t="n">
        <f aca="false">IFERROR(SUM($F331:$G331),"")</f>
        <v>0</v>
      </c>
      <c r="J331" s="116"/>
      <c r="K331" s="116"/>
      <c r="L331" s="116"/>
      <c r="M331" s="116"/>
      <c r="N331" s="116"/>
      <c r="O331" s="116"/>
      <c r="P331" s="116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</row>
    <row r="332" customFormat="false" ht="16.5" hidden="true" customHeight="true" outlineLevel="0" collapsed="false">
      <c r="A332" s="102"/>
      <c r="B332" s="117" t="s">
        <v>634</v>
      </c>
      <c r="C332" s="111"/>
      <c r="D332" s="118" t="s">
        <v>356</v>
      </c>
      <c r="E332" s="113" t="s">
        <v>75</v>
      </c>
      <c r="F332" s="119" t="n">
        <v>0</v>
      </c>
      <c r="G332" s="119" t="n">
        <v>0</v>
      </c>
      <c r="H332" s="115" t="n">
        <f aca="false">IFERROR(SUM($F332:$G332),"")</f>
        <v>0</v>
      </c>
      <c r="J332" s="116"/>
      <c r="K332" s="116"/>
      <c r="L332" s="116"/>
      <c r="M332" s="116"/>
      <c r="N332" s="116"/>
      <c r="O332" s="116"/>
      <c r="P332" s="116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</row>
    <row r="333" customFormat="false" ht="16.5" hidden="true" customHeight="true" outlineLevel="0" collapsed="false">
      <c r="A333" s="102"/>
      <c r="B333" s="117" t="s">
        <v>635</v>
      </c>
      <c r="C333" s="111"/>
      <c r="D333" s="118" t="s">
        <v>358</v>
      </c>
      <c r="E333" s="113" t="s">
        <v>75</v>
      </c>
      <c r="F333" s="119" t="n">
        <v>0</v>
      </c>
      <c r="G333" s="119" t="n">
        <v>0</v>
      </c>
      <c r="H333" s="115" t="n">
        <f aca="false">IFERROR(SUM($F333:$G333),"")</f>
        <v>0</v>
      </c>
      <c r="J333" s="116"/>
      <c r="K333" s="116"/>
      <c r="L333" s="116"/>
      <c r="M333" s="116"/>
      <c r="N333" s="116"/>
      <c r="O333" s="116"/>
      <c r="P333" s="116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</row>
    <row r="334" customFormat="false" ht="16.5" hidden="true" customHeight="true" outlineLevel="0" collapsed="false">
      <c r="A334" s="102"/>
      <c r="B334" s="117" t="s">
        <v>636</v>
      </c>
      <c r="C334" s="111"/>
      <c r="D334" s="163" t="s">
        <v>360</v>
      </c>
      <c r="E334" s="113" t="s">
        <v>75</v>
      </c>
      <c r="F334" s="119" t="n">
        <v>0</v>
      </c>
      <c r="G334" s="119" t="n">
        <v>0</v>
      </c>
      <c r="H334" s="115" t="n">
        <f aca="false">IFERROR(SUM($F334:$G334),"")</f>
        <v>0</v>
      </c>
      <c r="J334" s="116"/>
      <c r="K334" s="116"/>
      <c r="L334" s="116"/>
      <c r="M334" s="116"/>
      <c r="N334" s="116"/>
      <c r="O334" s="116"/>
      <c r="P334" s="116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</row>
    <row r="335" customFormat="false" ht="16.5" hidden="true" customHeight="true" outlineLevel="0" collapsed="false">
      <c r="A335" s="102"/>
      <c r="B335" s="117" t="s">
        <v>637</v>
      </c>
      <c r="C335" s="111"/>
      <c r="D335" s="118" t="s">
        <v>362</v>
      </c>
      <c r="E335" s="113" t="s">
        <v>75</v>
      </c>
      <c r="F335" s="119" t="n">
        <v>0</v>
      </c>
      <c r="G335" s="119" t="n">
        <v>0</v>
      </c>
      <c r="H335" s="115" t="n">
        <f aca="false">IFERROR(SUM($F335:$G335),"")</f>
        <v>0</v>
      </c>
      <c r="J335" s="116"/>
      <c r="K335" s="116"/>
      <c r="L335" s="116"/>
      <c r="M335" s="116"/>
      <c r="N335" s="116"/>
      <c r="O335" s="116"/>
      <c r="P335" s="116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</row>
    <row r="336" customFormat="false" ht="16.5" hidden="true" customHeight="true" outlineLevel="0" collapsed="false">
      <c r="A336" s="102"/>
      <c r="B336" s="117" t="s">
        <v>638</v>
      </c>
      <c r="C336" s="111"/>
      <c r="D336" s="118" t="s">
        <v>364</v>
      </c>
      <c r="E336" s="113" t="s">
        <v>75</v>
      </c>
      <c r="F336" s="119" t="n">
        <v>0</v>
      </c>
      <c r="G336" s="119" t="n">
        <v>0</v>
      </c>
      <c r="H336" s="115" t="n">
        <f aca="false">IFERROR(SUM($F336:$G336),"")</f>
        <v>0</v>
      </c>
      <c r="J336" s="116"/>
      <c r="K336" s="116"/>
      <c r="L336" s="116"/>
      <c r="M336" s="116"/>
      <c r="N336" s="116"/>
      <c r="O336" s="116"/>
      <c r="P336" s="116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</row>
    <row r="337" customFormat="false" ht="16.5" hidden="true" customHeight="true" outlineLevel="0" collapsed="false">
      <c r="A337" s="102"/>
      <c r="B337" s="117" t="s">
        <v>639</v>
      </c>
      <c r="C337" s="111"/>
      <c r="D337" s="118" t="s">
        <v>366</v>
      </c>
      <c r="E337" s="113" t="s">
        <v>75</v>
      </c>
      <c r="F337" s="119" t="n">
        <v>0</v>
      </c>
      <c r="G337" s="119" t="n">
        <v>0</v>
      </c>
      <c r="H337" s="115" t="n">
        <f aca="false">IFERROR(SUM($F337:$G337),"")</f>
        <v>0</v>
      </c>
      <c r="J337" s="116"/>
      <c r="K337" s="116"/>
      <c r="L337" s="116"/>
      <c r="M337" s="116"/>
      <c r="N337" s="116"/>
      <c r="O337" s="116"/>
      <c r="P337" s="116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</row>
    <row r="338" customFormat="false" ht="16.5" hidden="true" customHeight="true" outlineLevel="0" collapsed="false">
      <c r="A338" s="102"/>
      <c r="B338" s="117" t="s">
        <v>640</v>
      </c>
      <c r="C338" s="111"/>
      <c r="D338" s="118" t="s">
        <v>368</v>
      </c>
      <c r="E338" s="113" t="s">
        <v>75</v>
      </c>
      <c r="F338" s="119" t="n">
        <v>0</v>
      </c>
      <c r="G338" s="119" t="n">
        <v>0</v>
      </c>
      <c r="H338" s="115" t="n">
        <f aca="false">IFERROR(SUM($F338:$G338),"")</f>
        <v>0</v>
      </c>
      <c r="J338" s="116"/>
      <c r="K338" s="116"/>
      <c r="L338" s="116"/>
      <c r="M338" s="116"/>
      <c r="N338" s="116"/>
      <c r="O338" s="116"/>
      <c r="P338" s="116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</row>
    <row r="339" customFormat="false" ht="16.5" hidden="true" customHeight="true" outlineLevel="0" collapsed="false">
      <c r="A339" s="102"/>
      <c r="B339" s="117" t="s">
        <v>641</v>
      </c>
      <c r="C339" s="111"/>
      <c r="D339" s="118" t="s">
        <v>370</v>
      </c>
      <c r="E339" s="113" t="s">
        <v>75</v>
      </c>
      <c r="F339" s="119" t="n">
        <v>0</v>
      </c>
      <c r="G339" s="119" t="n">
        <v>0</v>
      </c>
      <c r="H339" s="115" t="n">
        <f aca="false">IFERROR(SUM($F339:$G339),"")</f>
        <v>0</v>
      </c>
      <c r="J339" s="116"/>
      <c r="K339" s="116"/>
      <c r="L339" s="116"/>
      <c r="M339" s="116"/>
      <c r="N339" s="116"/>
      <c r="O339" s="116"/>
      <c r="P339" s="116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</row>
    <row r="340" customFormat="false" ht="16.5" hidden="true" customHeight="true" outlineLevel="0" collapsed="false">
      <c r="A340" s="102"/>
      <c r="B340" s="117" t="s">
        <v>642</v>
      </c>
      <c r="C340" s="111"/>
      <c r="D340" s="118" t="s">
        <v>372</v>
      </c>
      <c r="E340" s="113" t="s">
        <v>75</v>
      </c>
      <c r="F340" s="119" t="n">
        <v>0</v>
      </c>
      <c r="G340" s="119" t="n">
        <v>0</v>
      </c>
      <c r="H340" s="115" t="n">
        <f aca="false">IFERROR(SUM($F340:$G340),"")</f>
        <v>0</v>
      </c>
      <c r="J340" s="116"/>
      <c r="K340" s="116"/>
      <c r="L340" s="116"/>
      <c r="M340" s="116"/>
      <c r="N340" s="116"/>
      <c r="O340" s="116"/>
      <c r="P340" s="116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</row>
    <row r="341" customFormat="false" ht="16.5" hidden="true" customHeight="true" outlineLevel="0" collapsed="false">
      <c r="A341" s="102"/>
      <c r="B341" s="117" t="s">
        <v>643</v>
      </c>
      <c r="C341" s="111"/>
      <c r="D341" s="118" t="s">
        <v>374</v>
      </c>
      <c r="E341" s="113" t="s">
        <v>75</v>
      </c>
      <c r="F341" s="119" t="n">
        <v>0</v>
      </c>
      <c r="G341" s="119" t="n">
        <v>0</v>
      </c>
      <c r="H341" s="115" t="n">
        <f aca="false">IFERROR(SUM($F341:$G341),"")</f>
        <v>0</v>
      </c>
      <c r="J341" s="116"/>
      <c r="K341" s="116"/>
      <c r="L341" s="116"/>
      <c r="M341" s="116"/>
      <c r="N341" s="116"/>
      <c r="O341" s="116"/>
      <c r="P341" s="116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</row>
    <row r="342" customFormat="false" ht="16.5" hidden="true" customHeight="true" outlineLevel="0" collapsed="false">
      <c r="A342" s="102"/>
      <c r="B342" s="117" t="s">
        <v>644</v>
      </c>
      <c r="C342" s="111"/>
      <c r="D342" s="118" t="s">
        <v>376</v>
      </c>
      <c r="E342" s="113" t="s">
        <v>75</v>
      </c>
      <c r="F342" s="119" t="n">
        <v>0</v>
      </c>
      <c r="G342" s="119" t="n">
        <v>0</v>
      </c>
      <c r="H342" s="115" t="n">
        <f aca="false">IFERROR(SUM($F342:$G342),"")</f>
        <v>0</v>
      </c>
      <c r="J342" s="116"/>
      <c r="K342" s="116"/>
      <c r="L342" s="116"/>
      <c r="M342" s="116"/>
      <c r="N342" s="116"/>
      <c r="O342" s="116"/>
      <c r="P342" s="116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</row>
    <row r="343" customFormat="false" ht="16.5" hidden="true" customHeight="true" outlineLevel="0" collapsed="false">
      <c r="A343" s="102"/>
      <c r="B343" s="117" t="s">
        <v>645</v>
      </c>
      <c r="C343" s="111"/>
      <c r="D343" s="118" t="s">
        <v>378</v>
      </c>
      <c r="E343" s="113" t="s">
        <v>75</v>
      </c>
      <c r="F343" s="119" t="n">
        <v>0</v>
      </c>
      <c r="G343" s="119" t="n">
        <v>0</v>
      </c>
      <c r="H343" s="115" t="n">
        <f aca="false">IFERROR(SUM($F343:$G343),"")</f>
        <v>0</v>
      </c>
      <c r="J343" s="116"/>
      <c r="K343" s="116"/>
      <c r="L343" s="116"/>
      <c r="M343" s="116"/>
      <c r="N343" s="116"/>
      <c r="O343" s="116"/>
      <c r="P343" s="116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</row>
    <row r="344" customFormat="false" ht="16.5" hidden="true" customHeight="true" outlineLevel="0" collapsed="false">
      <c r="A344" s="150"/>
      <c r="B344" s="117" t="s">
        <v>646</v>
      </c>
      <c r="C344" s="111"/>
      <c r="D344" s="118" t="s">
        <v>380</v>
      </c>
      <c r="E344" s="113" t="s">
        <v>75</v>
      </c>
      <c r="F344" s="119" t="n">
        <v>0</v>
      </c>
      <c r="G344" s="119" t="n">
        <v>0</v>
      </c>
      <c r="H344" s="115" t="n">
        <f aca="false">IFERROR(SUM($F344:$G344),"")</f>
        <v>0</v>
      </c>
      <c r="J344" s="116"/>
      <c r="K344" s="116"/>
      <c r="L344" s="116"/>
      <c r="M344" s="116"/>
      <c r="N344" s="116"/>
      <c r="O344" s="116"/>
      <c r="P344" s="116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</row>
    <row r="345" customFormat="false" ht="16.5" hidden="true" customHeight="true" outlineLevel="0" collapsed="false">
      <c r="A345" s="150"/>
      <c r="B345" s="117" t="s">
        <v>647</v>
      </c>
      <c r="C345" s="111"/>
      <c r="D345" s="118" t="s">
        <v>382</v>
      </c>
      <c r="E345" s="113" t="s">
        <v>75</v>
      </c>
      <c r="F345" s="119" t="n">
        <v>0</v>
      </c>
      <c r="G345" s="119" t="n">
        <v>0</v>
      </c>
      <c r="H345" s="115" t="n">
        <f aca="false">IFERROR(SUM($F345:$G345),"")</f>
        <v>0</v>
      </c>
      <c r="J345" s="116"/>
      <c r="K345" s="116"/>
      <c r="L345" s="116"/>
      <c r="M345" s="116"/>
      <c r="N345" s="116"/>
      <c r="O345" s="116"/>
      <c r="P345" s="116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</row>
    <row r="346" customFormat="false" ht="16.5" hidden="true" customHeight="true" outlineLevel="0" collapsed="false">
      <c r="A346" s="102"/>
      <c r="B346" s="117" t="s">
        <v>648</v>
      </c>
      <c r="C346" s="111"/>
      <c r="D346" s="118" t="s">
        <v>384</v>
      </c>
      <c r="E346" s="113" t="s">
        <v>75</v>
      </c>
      <c r="F346" s="119" t="n">
        <v>0</v>
      </c>
      <c r="G346" s="119" t="n">
        <v>0</v>
      </c>
      <c r="H346" s="115" t="n">
        <f aca="false">IFERROR(SUM($F346:$G346),"")</f>
        <v>0</v>
      </c>
      <c r="J346" s="116"/>
      <c r="K346" s="116"/>
      <c r="L346" s="116"/>
      <c r="M346" s="116"/>
      <c r="N346" s="116"/>
      <c r="O346" s="116"/>
      <c r="P346" s="116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</row>
    <row r="347" customFormat="false" ht="16.5" hidden="true" customHeight="true" outlineLevel="0" collapsed="false">
      <c r="A347" s="150"/>
      <c r="B347" s="117" t="s">
        <v>649</v>
      </c>
      <c r="C347" s="111"/>
      <c r="D347" s="118" t="s">
        <v>386</v>
      </c>
      <c r="E347" s="113" t="s">
        <v>75</v>
      </c>
      <c r="F347" s="119" t="n">
        <v>0</v>
      </c>
      <c r="G347" s="119" t="n">
        <v>0</v>
      </c>
      <c r="H347" s="115" t="n">
        <f aca="false">IFERROR(SUM($F347:$G347),"")</f>
        <v>0</v>
      </c>
      <c r="J347" s="116"/>
      <c r="K347" s="116"/>
      <c r="L347" s="116"/>
      <c r="M347" s="116"/>
      <c r="N347" s="116"/>
      <c r="O347" s="116"/>
      <c r="P347" s="116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</row>
    <row r="348" customFormat="false" ht="16.5" hidden="true" customHeight="true" outlineLevel="0" collapsed="false">
      <c r="A348" s="102"/>
      <c r="B348" s="117" t="s">
        <v>650</v>
      </c>
      <c r="C348" s="111"/>
      <c r="D348" s="118" t="s">
        <v>388</v>
      </c>
      <c r="E348" s="113" t="s">
        <v>75</v>
      </c>
      <c r="F348" s="119" t="n">
        <v>0</v>
      </c>
      <c r="G348" s="119" t="n">
        <v>0</v>
      </c>
      <c r="H348" s="115" t="n">
        <f aca="false">IFERROR(SUM($F348:$G348),"")</f>
        <v>0</v>
      </c>
      <c r="J348" s="116"/>
      <c r="K348" s="116"/>
      <c r="L348" s="116"/>
      <c r="M348" s="116"/>
      <c r="N348" s="116"/>
      <c r="O348" s="116"/>
      <c r="P348" s="116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</row>
    <row r="349" customFormat="false" ht="16.5" hidden="true" customHeight="true" outlineLevel="0" collapsed="false">
      <c r="A349" s="150"/>
      <c r="B349" s="117" t="s">
        <v>651</v>
      </c>
      <c r="C349" s="111"/>
      <c r="D349" s="118" t="s">
        <v>390</v>
      </c>
      <c r="E349" s="113" t="s">
        <v>75</v>
      </c>
      <c r="F349" s="119" t="n">
        <v>0</v>
      </c>
      <c r="G349" s="119" t="n">
        <v>0</v>
      </c>
      <c r="H349" s="115" t="n">
        <f aca="false">IFERROR(SUM($F349:$G349),"")</f>
        <v>0</v>
      </c>
      <c r="J349" s="116"/>
      <c r="K349" s="116"/>
      <c r="L349" s="116"/>
      <c r="M349" s="116"/>
      <c r="N349" s="116"/>
      <c r="O349" s="116"/>
      <c r="P349" s="116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</row>
    <row r="350" customFormat="false" ht="16.5" hidden="true" customHeight="true" outlineLevel="0" collapsed="false">
      <c r="A350" s="150"/>
      <c r="B350" s="117" t="s">
        <v>652</v>
      </c>
      <c r="C350" s="111"/>
      <c r="D350" s="118" t="s">
        <v>392</v>
      </c>
      <c r="E350" s="113" t="s">
        <v>75</v>
      </c>
      <c r="F350" s="119" t="n">
        <v>0</v>
      </c>
      <c r="G350" s="119" t="n">
        <v>0</v>
      </c>
      <c r="H350" s="115" t="n">
        <f aca="false">IFERROR(SUM($F350:$G350),"")</f>
        <v>0</v>
      </c>
      <c r="J350" s="116"/>
      <c r="K350" s="116"/>
      <c r="L350" s="116"/>
      <c r="M350" s="116"/>
      <c r="N350" s="116"/>
      <c r="O350" s="116"/>
      <c r="P350" s="116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</row>
    <row r="351" customFormat="false" ht="16.5" hidden="true" customHeight="true" outlineLevel="0" collapsed="false">
      <c r="A351" s="102"/>
      <c r="B351" s="117" t="s">
        <v>653</v>
      </c>
      <c r="C351" s="111"/>
      <c r="D351" s="118" t="s">
        <v>394</v>
      </c>
      <c r="E351" s="113" t="s">
        <v>75</v>
      </c>
      <c r="F351" s="119" t="n">
        <v>0</v>
      </c>
      <c r="G351" s="119" t="n">
        <v>0</v>
      </c>
      <c r="H351" s="115" t="n">
        <f aca="false">IFERROR(SUM($F351:$G351),"")</f>
        <v>0</v>
      </c>
      <c r="J351" s="116"/>
      <c r="K351" s="116"/>
      <c r="L351" s="116"/>
      <c r="M351" s="116"/>
      <c r="N351" s="116"/>
      <c r="O351" s="116"/>
      <c r="P351" s="116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</row>
    <row r="352" customFormat="false" ht="16.5" hidden="true" customHeight="true" outlineLevel="0" collapsed="false">
      <c r="A352" s="102"/>
      <c r="B352" s="117" t="s">
        <v>654</v>
      </c>
      <c r="C352" s="111"/>
      <c r="D352" s="118" t="s">
        <v>396</v>
      </c>
      <c r="E352" s="113" t="s">
        <v>75</v>
      </c>
      <c r="F352" s="119" t="n">
        <v>0</v>
      </c>
      <c r="G352" s="119" t="n">
        <v>0</v>
      </c>
      <c r="H352" s="115" t="n">
        <f aca="false">IFERROR(SUM($F352:$G352),"")</f>
        <v>0</v>
      </c>
      <c r="J352" s="116"/>
      <c r="K352" s="116"/>
      <c r="L352" s="116"/>
      <c r="M352" s="116"/>
      <c r="N352" s="116"/>
      <c r="O352" s="116"/>
      <c r="P352" s="116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</row>
    <row r="353" customFormat="false" ht="16.5" hidden="true" customHeight="true" outlineLevel="0" collapsed="false">
      <c r="A353" s="102"/>
      <c r="B353" s="117" t="s">
        <v>655</v>
      </c>
      <c r="C353" s="111"/>
      <c r="D353" s="118" t="s">
        <v>398</v>
      </c>
      <c r="E353" s="113" t="s">
        <v>75</v>
      </c>
      <c r="F353" s="119" t="n">
        <v>0</v>
      </c>
      <c r="G353" s="119" t="n">
        <v>0</v>
      </c>
      <c r="H353" s="115" t="n">
        <f aca="false">IFERROR(SUM($F353:$G353),"")</f>
        <v>0</v>
      </c>
      <c r="J353" s="116"/>
      <c r="K353" s="116"/>
      <c r="L353" s="116"/>
      <c r="M353" s="116"/>
      <c r="N353" s="116"/>
      <c r="O353" s="116"/>
      <c r="P353" s="116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</row>
    <row r="354" customFormat="false" ht="16.5" hidden="true" customHeight="true" outlineLevel="0" collapsed="false">
      <c r="A354" s="102"/>
      <c r="B354" s="117" t="s">
        <v>656</v>
      </c>
      <c r="C354" s="111"/>
      <c r="D354" s="118" t="s">
        <v>400</v>
      </c>
      <c r="E354" s="113" t="s">
        <v>75</v>
      </c>
      <c r="F354" s="119" t="n">
        <v>0</v>
      </c>
      <c r="G354" s="119" t="n">
        <v>0</v>
      </c>
      <c r="H354" s="115" t="n">
        <f aca="false">IFERROR(SUM($F354:$G354),"")</f>
        <v>0</v>
      </c>
      <c r="J354" s="116"/>
      <c r="K354" s="116"/>
      <c r="L354" s="116"/>
      <c r="M354" s="116"/>
      <c r="N354" s="116"/>
      <c r="O354" s="116"/>
      <c r="P354" s="116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</row>
    <row r="355" customFormat="false" ht="16.5" hidden="true" customHeight="true" outlineLevel="0" collapsed="false">
      <c r="A355" s="102"/>
      <c r="B355" s="117" t="s">
        <v>657</v>
      </c>
      <c r="C355" s="111"/>
      <c r="D355" s="163" t="s">
        <v>402</v>
      </c>
      <c r="E355" s="113" t="s">
        <v>75</v>
      </c>
      <c r="F355" s="119" t="n">
        <v>0</v>
      </c>
      <c r="G355" s="119" t="n">
        <v>0</v>
      </c>
      <c r="H355" s="115" t="n">
        <f aca="false">IFERROR(SUM($F355:$G355),"")</f>
        <v>0</v>
      </c>
      <c r="J355" s="116"/>
      <c r="K355" s="116"/>
      <c r="L355" s="116"/>
      <c r="M355" s="116"/>
      <c r="N355" s="116"/>
      <c r="O355" s="116"/>
      <c r="P355" s="116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</row>
    <row r="356" customFormat="false" ht="16.5" hidden="true" customHeight="true" outlineLevel="0" collapsed="false">
      <c r="A356" s="102"/>
      <c r="B356" s="117" t="s">
        <v>658</v>
      </c>
      <c r="C356" s="111"/>
      <c r="D356" s="118" t="s">
        <v>404</v>
      </c>
      <c r="E356" s="113" t="s">
        <v>75</v>
      </c>
      <c r="F356" s="119" t="n">
        <v>0</v>
      </c>
      <c r="G356" s="119" t="n">
        <v>0</v>
      </c>
      <c r="H356" s="115" t="n">
        <f aca="false">IFERROR(SUM($F356:$G356),"")</f>
        <v>0</v>
      </c>
      <c r="J356" s="116"/>
      <c r="K356" s="116"/>
      <c r="L356" s="116"/>
      <c r="M356" s="116"/>
      <c r="N356" s="116"/>
      <c r="O356" s="116"/>
      <c r="P356" s="116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</row>
    <row r="357" customFormat="false" ht="16.5" hidden="true" customHeight="true" outlineLevel="0" collapsed="false">
      <c r="A357" s="102"/>
      <c r="B357" s="117" t="s">
        <v>659</v>
      </c>
      <c r="C357" s="111"/>
      <c r="D357" s="118" t="s">
        <v>406</v>
      </c>
      <c r="E357" s="113" t="s">
        <v>75</v>
      </c>
      <c r="F357" s="119" t="n">
        <v>0</v>
      </c>
      <c r="G357" s="119" t="n">
        <v>0</v>
      </c>
      <c r="H357" s="115" t="n">
        <f aca="false">IFERROR(SUM($F357:$G357),"")</f>
        <v>0</v>
      </c>
      <c r="J357" s="116"/>
      <c r="K357" s="116"/>
      <c r="L357" s="116"/>
      <c r="M357" s="116"/>
      <c r="N357" s="116"/>
      <c r="O357" s="116"/>
      <c r="P357" s="116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</row>
    <row r="358" customFormat="false" ht="16.5" hidden="true" customHeight="true" outlineLevel="0" collapsed="false">
      <c r="A358" s="102"/>
      <c r="B358" s="117" t="s">
        <v>660</v>
      </c>
      <c r="C358" s="111"/>
      <c r="D358" s="118" t="s">
        <v>408</v>
      </c>
      <c r="E358" s="113" t="s">
        <v>75</v>
      </c>
      <c r="F358" s="119" t="n">
        <v>0</v>
      </c>
      <c r="G358" s="119" t="n">
        <v>0</v>
      </c>
      <c r="H358" s="115" t="n">
        <f aca="false">IFERROR(SUM($F358:$G358),"")</f>
        <v>0</v>
      </c>
      <c r="J358" s="116"/>
      <c r="K358" s="116"/>
      <c r="L358" s="116"/>
      <c r="M358" s="116"/>
      <c r="N358" s="116"/>
      <c r="O358" s="116"/>
      <c r="P358" s="116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</row>
    <row r="359" customFormat="false" ht="16.5" hidden="true" customHeight="true" outlineLevel="0" collapsed="false">
      <c r="A359" s="102"/>
      <c r="B359" s="117" t="s">
        <v>661</v>
      </c>
      <c r="C359" s="111"/>
      <c r="D359" s="118" t="s">
        <v>410</v>
      </c>
      <c r="E359" s="113" t="s">
        <v>75</v>
      </c>
      <c r="F359" s="119" t="n">
        <v>0</v>
      </c>
      <c r="G359" s="119" t="n">
        <v>0</v>
      </c>
      <c r="H359" s="115" t="n">
        <f aca="false">IFERROR(SUM($F359:$G359),"")</f>
        <v>0</v>
      </c>
      <c r="J359" s="116"/>
      <c r="K359" s="116"/>
      <c r="L359" s="116"/>
      <c r="M359" s="116"/>
      <c r="N359" s="116"/>
      <c r="O359" s="116"/>
      <c r="P359" s="116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</row>
    <row r="360" customFormat="false" ht="16.5" hidden="true" customHeight="true" outlineLevel="0" collapsed="false">
      <c r="A360" s="102"/>
      <c r="B360" s="117" t="s">
        <v>662</v>
      </c>
      <c r="C360" s="111"/>
      <c r="D360" s="118" t="s">
        <v>412</v>
      </c>
      <c r="E360" s="113" t="s">
        <v>75</v>
      </c>
      <c r="F360" s="119" t="n">
        <v>0</v>
      </c>
      <c r="G360" s="119" t="n">
        <v>0</v>
      </c>
      <c r="H360" s="115" t="n">
        <f aca="false">IFERROR(SUM($F360:$G360),"")</f>
        <v>0</v>
      </c>
      <c r="J360" s="116"/>
      <c r="K360" s="116"/>
      <c r="L360" s="116"/>
      <c r="M360" s="116"/>
      <c r="N360" s="116"/>
      <c r="O360" s="116"/>
      <c r="P360" s="116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</row>
    <row r="361" customFormat="false" ht="16.5" hidden="true" customHeight="true" outlineLevel="0" collapsed="false">
      <c r="A361" s="102"/>
      <c r="B361" s="117" t="s">
        <v>663</v>
      </c>
      <c r="C361" s="111"/>
      <c r="D361" s="118" t="s">
        <v>414</v>
      </c>
      <c r="E361" s="113" t="s">
        <v>75</v>
      </c>
      <c r="F361" s="119" t="n">
        <v>0</v>
      </c>
      <c r="G361" s="119" t="n">
        <v>0</v>
      </c>
      <c r="H361" s="115" t="n">
        <f aca="false">IFERROR(SUM($F361:$G361),"")</f>
        <v>0</v>
      </c>
      <c r="J361" s="116"/>
      <c r="K361" s="116"/>
      <c r="L361" s="116"/>
      <c r="M361" s="116"/>
      <c r="N361" s="116"/>
      <c r="O361" s="116"/>
      <c r="P361" s="116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</row>
    <row r="362" customFormat="false" ht="16.5" hidden="true" customHeight="true" outlineLevel="0" collapsed="false">
      <c r="A362" s="102"/>
      <c r="B362" s="117" t="s">
        <v>664</v>
      </c>
      <c r="C362" s="111"/>
      <c r="D362" s="163" t="s">
        <v>416</v>
      </c>
      <c r="E362" s="113" t="s">
        <v>75</v>
      </c>
      <c r="F362" s="119" t="n">
        <v>0</v>
      </c>
      <c r="G362" s="119" t="n">
        <v>0</v>
      </c>
      <c r="H362" s="115" t="n">
        <f aca="false">IFERROR(SUM($F362:$G362),"")</f>
        <v>0</v>
      </c>
      <c r="J362" s="116"/>
      <c r="K362" s="116"/>
      <c r="L362" s="116"/>
      <c r="M362" s="116"/>
      <c r="N362" s="116"/>
      <c r="O362" s="116"/>
      <c r="P362" s="116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</row>
    <row r="363" customFormat="false" ht="16.5" hidden="true" customHeight="true" outlineLevel="0" collapsed="false">
      <c r="A363" s="102"/>
      <c r="B363" s="117" t="s">
        <v>665</v>
      </c>
      <c r="C363" s="111"/>
      <c r="D363" s="163" t="s">
        <v>418</v>
      </c>
      <c r="E363" s="113" t="s">
        <v>75</v>
      </c>
      <c r="F363" s="119" t="n">
        <v>0</v>
      </c>
      <c r="G363" s="119" t="n">
        <v>0</v>
      </c>
      <c r="H363" s="115" t="n">
        <f aca="false">IFERROR(SUM($F363:$G363),"")</f>
        <v>0</v>
      </c>
      <c r="J363" s="116"/>
      <c r="K363" s="116"/>
      <c r="L363" s="116"/>
      <c r="M363" s="116"/>
      <c r="N363" s="116"/>
      <c r="O363" s="116"/>
      <c r="P363" s="116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</row>
    <row r="364" customFormat="false" ht="16.5" hidden="true" customHeight="true" outlineLevel="0" collapsed="false">
      <c r="A364" s="102"/>
      <c r="B364" s="117" t="s">
        <v>666</v>
      </c>
      <c r="C364" s="111"/>
      <c r="D364" s="118" t="s">
        <v>420</v>
      </c>
      <c r="E364" s="113" t="s">
        <v>75</v>
      </c>
      <c r="F364" s="119" t="n">
        <v>0</v>
      </c>
      <c r="G364" s="119" t="n">
        <v>0</v>
      </c>
      <c r="H364" s="115" t="n">
        <f aca="false">IFERROR(SUM($F364:$G364),"")</f>
        <v>0</v>
      </c>
      <c r="J364" s="116"/>
      <c r="K364" s="116"/>
      <c r="L364" s="116"/>
      <c r="M364" s="116"/>
      <c r="N364" s="116"/>
      <c r="O364" s="116"/>
      <c r="P364" s="116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</row>
    <row r="365" customFormat="false" ht="16.5" hidden="true" customHeight="true" outlineLevel="0" collapsed="false">
      <c r="A365" s="102"/>
      <c r="B365" s="117" t="s">
        <v>667</v>
      </c>
      <c r="C365" s="111"/>
      <c r="D365" s="118" t="s">
        <v>422</v>
      </c>
      <c r="E365" s="113" t="s">
        <v>75</v>
      </c>
      <c r="F365" s="119" t="n">
        <v>0</v>
      </c>
      <c r="G365" s="119" t="n">
        <v>0</v>
      </c>
      <c r="H365" s="115" t="n">
        <f aca="false">IFERROR(SUM($F365:$G365),"")</f>
        <v>0</v>
      </c>
      <c r="J365" s="116"/>
      <c r="K365" s="116"/>
      <c r="L365" s="116"/>
      <c r="M365" s="116"/>
      <c r="N365" s="116"/>
      <c r="O365" s="116"/>
      <c r="P365" s="116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</row>
    <row r="366" customFormat="false" ht="16.5" hidden="true" customHeight="true" outlineLevel="0" collapsed="false">
      <c r="A366" s="102"/>
      <c r="B366" s="117" t="s">
        <v>668</v>
      </c>
      <c r="C366" s="111"/>
      <c r="D366" s="163" t="s">
        <v>424</v>
      </c>
      <c r="E366" s="113" t="s">
        <v>75</v>
      </c>
      <c r="F366" s="119" t="n">
        <v>0</v>
      </c>
      <c r="G366" s="119" t="n">
        <v>0</v>
      </c>
      <c r="H366" s="115" t="n">
        <f aca="false">IFERROR(SUM($F366:$G366),"")</f>
        <v>0</v>
      </c>
      <c r="J366" s="116"/>
      <c r="K366" s="116"/>
      <c r="L366" s="116"/>
      <c r="M366" s="116"/>
      <c r="N366" s="116"/>
      <c r="O366" s="116"/>
      <c r="P366" s="116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</row>
    <row r="367" customFormat="false" ht="16.5" hidden="true" customHeight="true" outlineLevel="0" collapsed="false">
      <c r="A367" s="102"/>
      <c r="B367" s="117" t="s">
        <v>669</v>
      </c>
      <c r="C367" s="111"/>
      <c r="D367" s="163" t="s">
        <v>426</v>
      </c>
      <c r="E367" s="113" t="s">
        <v>75</v>
      </c>
      <c r="F367" s="119" t="n">
        <v>0</v>
      </c>
      <c r="G367" s="119" t="n">
        <v>0</v>
      </c>
      <c r="H367" s="115" t="n">
        <f aca="false">IFERROR(SUM($F367:$G367),"")</f>
        <v>0</v>
      </c>
      <c r="J367" s="116"/>
      <c r="K367" s="116"/>
      <c r="L367" s="116"/>
      <c r="M367" s="116"/>
      <c r="N367" s="116"/>
      <c r="O367" s="116"/>
      <c r="P367" s="116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</row>
    <row r="368" customFormat="false" ht="16.5" hidden="true" customHeight="true" outlineLevel="0" collapsed="false">
      <c r="A368" s="102"/>
      <c r="B368" s="117" t="s">
        <v>670</v>
      </c>
      <c r="C368" s="111"/>
      <c r="D368" s="118" t="s">
        <v>428</v>
      </c>
      <c r="E368" s="113" t="s">
        <v>75</v>
      </c>
      <c r="F368" s="119" t="n">
        <v>0</v>
      </c>
      <c r="G368" s="119" t="n">
        <v>0</v>
      </c>
      <c r="H368" s="115" t="n">
        <f aca="false">IFERROR(SUM($F368:$G368),"")</f>
        <v>0</v>
      </c>
      <c r="J368" s="116"/>
      <c r="K368" s="116"/>
      <c r="L368" s="116"/>
      <c r="M368" s="116"/>
      <c r="N368" s="116"/>
      <c r="O368" s="116"/>
      <c r="P368" s="116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</row>
    <row r="369" customFormat="false" ht="16.5" hidden="true" customHeight="true" outlineLevel="0" collapsed="false">
      <c r="A369" s="102"/>
      <c r="B369" s="117" t="s">
        <v>671</v>
      </c>
      <c r="C369" s="111"/>
      <c r="D369" s="118" t="s">
        <v>430</v>
      </c>
      <c r="E369" s="113" t="s">
        <v>75</v>
      </c>
      <c r="F369" s="119" t="n">
        <v>0</v>
      </c>
      <c r="G369" s="119" t="n">
        <v>0</v>
      </c>
      <c r="H369" s="115" t="n">
        <f aca="false">IFERROR(SUM($F369:$G369),"")</f>
        <v>0</v>
      </c>
      <c r="J369" s="116"/>
      <c r="K369" s="116"/>
      <c r="L369" s="116"/>
      <c r="M369" s="116"/>
      <c r="N369" s="116"/>
      <c r="O369" s="116"/>
      <c r="P369" s="116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</row>
    <row r="370" customFormat="false" ht="16.5" hidden="true" customHeight="true" outlineLevel="0" collapsed="false">
      <c r="A370" s="102"/>
      <c r="B370" s="117" t="s">
        <v>672</v>
      </c>
      <c r="C370" s="111"/>
      <c r="D370" s="118" t="s">
        <v>432</v>
      </c>
      <c r="E370" s="113" t="s">
        <v>75</v>
      </c>
      <c r="F370" s="119" t="n">
        <v>0</v>
      </c>
      <c r="G370" s="119" t="n">
        <v>0</v>
      </c>
      <c r="H370" s="115" t="n">
        <f aca="false">IFERROR(SUM($F370:$G370),"")</f>
        <v>0</v>
      </c>
      <c r="J370" s="116"/>
      <c r="K370" s="116"/>
      <c r="L370" s="116"/>
      <c r="M370" s="116"/>
      <c r="N370" s="116"/>
      <c r="O370" s="116"/>
      <c r="P370" s="116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</row>
    <row r="371" customFormat="false" ht="16.5" hidden="true" customHeight="true" outlineLevel="0" collapsed="false">
      <c r="A371" s="102"/>
      <c r="B371" s="117" t="s">
        <v>673</v>
      </c>
      <c r="C371" s="111"/>
      <c r="D371" s="118" t="s">
        <v>434</v>
      </c>
      <c r="E371" s="113" t="s">
        <v>75</v>
      </c>
      <c r="F371" s="119" t="n">
        <v>0</v>
      </c>
      <c r="G371" s="119" t="n">
        <v>0</v>
      </c>
      <c r="H371" s="115" t="n">
        <f aca="false">IFERROR(SUM($F371:$G371),"")</f>
        <v>0</v>
      </c>
      <c r="J371" s="116"/>
      <c r="K371" s="116"/>
      <c r="L371" s="116"/>
      <c r="M371" s="116"/>
      <c r="N371" s="116"/>
      <c r="O371" s="116"/>
      <c r="P371" s="116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</row>
    <row r="372" customFormat="false" ht="16.5" hidden="true" customHeight="true" outlineLevel="0" collapsed="false">
      <c r="A372" s="102"/>
      <c r="B372" s="117" t="s">
        <v>674</v>
      </c>
      <c r="C372" s="111"/>
      <c r="D372" s="118" t="s">
        <v>436</v>
      </c>
      <c r="E372" s="113" t="s">
        <v>75</v>
      </c>
      <c r="F372" s="119" t="n">
        <v>0</v>
      </c>
      <c r="G372" s="119" t="n">
        <v>0</v>
      </c>
      <c r="H372" s="115" t="n">
        <f aca="false">IFERROR(SUM($F372:$G372),"")</f>
        <v>0</v>
      </c>
      <c r="J372" s="116"/>
      <c r="K372" s="116"/>
      <c r="L372" s="116"/>
      <c r="M372" s="116"/>
      <c r="N372" s="116"/>
      <c r="O372" s="116"/>
      <c r="P372" s="116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</row>
    <row r="373" customFormat="false" ht="16.5" hidden="true" customHeight="true" outlineLevel="0" collapsed="false">
      <c r="A373" s="102"/>
      <c r="B373" s="117" t="s">
        <v>675</v>
      </c>
      <c r="C373" s="111"/>
      <c r="D373" s="118" t="s">
        <v>438</v>
      </c>
      <c r="E373" s="113" t="s">
        <v>75</v>
      </c>
      <c r="F373" s="119" t="n">
        <v>0</v>
      </c>
      <c r="G373" s="119" t="n">
        <v>0</v>
      </c>
      <c r="H373" s="115" t="n">
        <f aca="false">IFERROR(SUM($F373:$G373),"")</f>
        <v>0</v>
      </c>
      <c r="J373" s="116"/>
      <c r="K373" s="116"/>
      <c r="L373" s="116"/>
      <c r="M373" s="116"/>
      <c r="N373" s="116"/>
      <c r="O373" s="116"/>
      <c r="P373" s="116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</row>
    <row r="374" customFormat="false" ht="16.5" hidden="true" customHeight="true" outlineLevel="0" collapsed="false">
      <c r="A374" s="102"/>
      <c r="B374" s="117" t="s">
        <v>676</v>
      </c>
      <c r="C374" s="111"/>
      <c r="D374" s="118" t="s">
        <v>677</v>
      </c>
      <c r="E374" s="113" t="s">
        <v>75</v>
      </c>
      <c r="F374" s="119" t="n">
        <v>0</v>
      </c>
      <c r="G374" s="119" t="n">
        <v>0</v>
      </c>
      <c r="H374" s="115" t="n">
        <f aca="false">IFERROR(SUM($F374:$G374),"")</f>
        <v>0</v>
      </c>
      <c r="J374" s="116"/>
      <c r="K374" s="116"/>
      <c r="L374" s="116"/>
      <c r="M374" s="116"/>
      <c r="N374" s="116"/>
      <c r="O374" s="116"/>
      <c r="P374" s="116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</row>
    <row r="375" customFormat="false" ht="16.5" hidden="true" customHeight="true" outlineLevel="0" collapsed="false">
      <c r="A375" s="102"/>
      <c r="B375" s="117" t="s">
        <v>678</v>
      </c>
      <c r="C375" s="111"/>
      <c r="D375" s="118" t="s">
        <v>679</v>
      </c>
      <c r="E375" s="113" t="s">
        <v>75</v>
      </c>
      <c r="F375" s="119" t="n">
        <v>0</v>
      </c>
      <c r="G375" s="119" t="n">
        <v>0</v>
      </c>
      <c r="H375" s="115" t="n">
        <f aca="false">IFERROR(SUM($F375:$G375),"")</f>
        <v>0</v>
      </c>
      <c r="J375" s="116"/>
      <c r="K375" s="116"/>
      <c r="L375" s="116"/>
      <c r="M375" s="116"/>
      <c r="N375" s="116"/>
      <c r="O375" s="116"/>
      <c r="P375" s="116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</row>
    <row r="376" customFormat="false" ht="16.5" hidden="true" customHeight="true" outlineLevel="0" collapsed="false">
      <c r="A376" s="102"/>
      <c r="B376" s="117" t="s">
        <v>680</v>
      </c>
      <c r="C376" s="111"/>
      <c r="D376" s="118" t="s">
        <v>681</v>
      </c>
      <c r="E376" s="113" t="s">
        <v>75</v>
      </c>
      <c r="F376" s="119" t="n">
        <v>0</v>
      </c>
      <c r="G376" s="119" t="n">
        <v>0</v>
      </c>
      <c r="H376" s="115" t="n">
        <f aca="false">IFERROR(SUM($F376:$G376),"")</f>
        <v>0</v>
      </c>
      <c r="J376" s="116"/>
      <c r="K376" s="116"/>
      <c r="L376" s="116"/>
      <c r="M376" s="116"/>
      <c r="N376" s="116"/>
      <c r="O376" s="116"/>
      <c r="P376" s="116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</row>
    <row r="377" customFormat="false" ht="16.5" hidden="true" customHeight="true" outlineLevel="0" collapsed="false">
      <c r="A377" s="102"/>
      <c r="B377" s="117" t="s">
        <v>682</v>
      </c>
      <c r="C377" s="111"/>
      <c r="D377" s="118" t="s">
        <v>683</v>
      </c>
      <c r="E377" s="113" t="s">
        <v>75</v>
      </c>
      <c r="F377" s="119" t="n">
        <v>0</v>
      </c>
      <c r="G377" s="119" t="n">
        <v>0</v>
      </c>
      <c r="H377" s="115" t="n">
        <f aca="false">IFERROR(SUM($F377:$G377),"")</f>
        <v>0</v>
      </c>
      <c r="J377" s="116"/>
      <c r="K377" s="116"/>
      <c r="L377" s="116"/>
      <c r="M377" s="116"/>
      <c r="N377" s="116"/>
      <c r="O377" s="116"/>
      <c r="P377" s="116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</row>
    <row r="378" customFormat="false" ht="16.5" hidden="true" customHeight="true" outlineLevel="0" collapsed="false">
      <c r="A378" s="102"/>
      <c r="B378" s="117" t="s">
        <v>684</v>
      </c>
      <c r="C378" s="111"/>
      <c r="D378" s="118" t="s">
        <v>685</v>
      </c>
      <c r="E378" s="113" t="s">
        <v>75</v>
      </c>
      <c r="F378" s="119" t="n">
        <v>0</v>
      </c>
      <c r="G378" s="119" t="n">
        <v>0</v>
      </c>
      <c r="H378" s="115" t="n">
        <f aca="false">IFERROR(SUM($F378:$G378),"")</f>
        <v>0</v>
      </c>
      <c r="J378" s="116"/>
      <c r="K378" s="116"/>
      <c r="L378" s="116"/>
      <c r="M378" s="116"/>
      <c r="N378" s="116"/>
      <c r="O378" s="116"/>
      <c r="P378" s="116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</row>
    <row r="379" customFormat="false" ht="16.5" hidden="true" customHeight="true" outlineLevel="0" collapsed="false">
      <c r="A379" s="102"/>
      <c r="B379" s="117" t="s">
        <v>686</v>
      </c>
      <c r="C379" s="111"/>
      <c r="D379" s="118" t="s">
        <v>687</v>
      </c>
      <c r="E379" s="113" t="s">
        <v>75</v>
      </c>
      <c r="F379" s="119" t="n">
        <v>0</v>
      </c>
      <c r="G379" s="119" t="n">
        <v>0</v>
      </c>
      <c r="H379" s="115" t="n">
        <f aca="false">IFERROR(SUM($F379:$G379),"")</f>
        <v>0</v>
      </c>
      <c r="J379" s="116"/>
      <c r="K379" s="116"/>
      <c r="L379" s="116"/>
      <c r="M379" s="116"/>
      <c r="N379" s="116"/>
      <c r="O379" s="116"/>
      <c r="P379" s="116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</row>
    <row r="380" customFormat="false" ht="16.5" hidden="true" customHeight="true" outlineLevel="0" collapsed="false">
      <c r="A380" s="102"/>
      <c r="B380" s="117" t="s">
        <v>688</v>
      </c>
      <c r="C380" s="111"/>
      <c r="D380" s="118" t="s">
        <v>689</v>
      </c>
      <c r="E380" s="113" t="s">
        <v>75</v>
      </c>
      <c r="F380" s="119" t="n">
        <v>0</v>
      </c>
      <c r="G380" s="119" t="n">
        <v>0</v>
      </c>
      <c r="H380" s="115" t="n">
        <f aca="false">IFERROR(SUM($F380:$G380),"")</f>
        <v>0</v>
      </c>
      <c r="J380" s="116"/>
      <c r="K380" s="116"/>
      <c r="L380" s="116"/>
      <c r="M380" s="116"/>
      <c r="N380" s="116"/>
      <c r="O380" s="116"/>
      <c r="P380" s="116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</row>
    <row r="381" customFormat="false" ht="16.5" hidden="true" customHeight="true" outlineLevel="0" collapsed="false">
      <c r="A381" s="102"/>
      <c r="B381" s="117" t="s">
        <v>690</v>
      </c>
      <c r="C381" s="111"/>
      <c r="D381" s="118" t="s">
        <v>691</v>
      </c>
      <c r="E381" s="113" t="s">
        <v>75</v>
      </c>
      <c r="F381" s="119" t="n">
        <v>0</v>
      </c>
      <c r="G381" s="119" t="n">
        <v>0</v>
      </c>
      <c r="H381" s="115" t="n">
        <f aca="false">IFERROR(SUM($F381:$G381),"")</f>
        <v>0</v>
      </c>
      <c r="J381" s="116"/>
      <c r="K381" s="116"/>
      <c r="L381" s="116"/>
      <c r="M381" s="116"/>
      <c r="N381" s="116"/>
      <c r="O381" s="116"/>
      <c r="P381" s="116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</row>
    <row r="382" customFormat="false" ht="16.5" hidden="true" customHeight="true" outlineLevel="0" collapsed="false">
      <c r="A382" s="102"/>
      <c r="B382" s="117" t="s">
        <v>692</v>
      </c>
      <c r="C382" s="111"/>
      <c r="D382" s="118" t="s">
        <v>693</v>
      </c>
      <c r="E382" s="113" t="s">
        <v>75</v>
      </c>
      <c r="F382" s="119" t="n">
        <v>0</v>
      </c>
      <c r="G382" s="119" t="n">
        <v>0</v>
      </c>
      <c r="H382" s="115" t="n">
        <f aca="false">IFERROR(SUM($F382:$G382),"")</f>
        <v>0</v>
      </c>
      <c r="J382" s="116"/>
      <c r="K382" s="116"/>
      <c r="L382" s="116"/>
      <c r="M382" s="116"/>
      <c r="N382" s="116"/>
      <c r="O382" s="116"/>
      <c r="P382" s="116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</row>
    <row r="383" customFormat="false" ht="16.5" hidden="true" customHeight="true" outlineLevel="0" collapsed="false">
      <c r="A383" s="102"/>
      <c r="B383" s="117" t="s">
        <v>694</v>
      </c>
      <c r="C383" s="111"/>
      <c r="D383" s="118" t="s">
        <v>695</v>
      </c>
      <c r="E383" s="113" t="s">
        <v>75</v>
      </c>
      <c r="F383" s="119" t="n">
        <v>0</v>
      </c>
      <c r="G383" s="119" t="n">
        <v>0</v>
      </c>
      <c r="H383" s="115" t="n">
        <f aca="false">IFERROR(SUM($F383:$G383),"")</f>
        <v>0</v>
      </c>
      <c r="J383" s="116"/>
      <c r="K383" s="116"/>
      <c r="L383" s="116"/>
      <c r="M383" s="116"/>
      <c r="N383" s="116"/>
      <c r="O383" s="116"/>
      <c r="P383" s="116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</row>
    <row r="384" customFormat="false" ht="16.5" hidden="true" customHeight="true" outlineLevel="0" collapsed="false">
      <c r="A384" s="102"/>
      <c r="B384" s="117" t="s">
        <v>696</v>
      </c>
      <c r="C384" s="111"/>
      <c r="D384" s="118" t="s">
        <v>697</v>
      </c>
      <c r="E384" s="113" t="s">
        <v>75</v>
      </c>
      <c r="F384" s="119" t="n">
        <v>0</v>
      </c>
      <c r="G384" s="119" t="n">
        <v>0</v>
      </c>
      <c r="H384" s="115" t="n">
        <f aca="false">IFERROR(SUM($F384:$G384),"")</f>
        <v>0</v>
      </c>
      <c r="J384" s="116"/>
      <c r="K384" s="116"/>
      <c r="L384" s="116"/>
      <c r="M384" s="116"/>
      <c r="N384" s="116"/>
      <c r="O384" s="116"/>
      <c r="P384" s="116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</row>
    <row r="385" customFormat="false" ht="16.5" hidden="true" customHeight="true" outlineLevel="0" collapsed="false">
      <c r="A385" s="102"/>
      <c r="B385" s="117" t="s">
        <v>698</v>
      </c>
      <c r="C385" s="111"/>
      <c r="D385" s="118" t="s">
        <v>699</v>
      </c>
      <c r="E385" s="113" t="s">
        <v>75</v>
      </c>
      <c r="F385" s="119" t="n">
        <v>0</v>
      </c>
      <c r="G385" s="119" t="n">
        <v>0</v>
      </c>
      <c r="H385" s="115" t="n">
        <f aca="false">IFERROR(SUM($F385:$G385),"")</f>
        <v>0</v>
      </c>
      <c r="J385" s="116"/>
      <c r="K385" s="116"/>
      <c r="L385" s="116"/>
      <c r="M385" s="116"/>
      <c r="N385" s="116"/>
      <c r="O385" s="116"/>
      <c r="P385" s="116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</row>
    <row r="386" customFormat="false" ht="16.5" hidden="true" customHeight="true" outlineLevel="0" collapsed="false">
      <c r="A386" s="102"/>
      <c r="B386" s="117" t="s">
        <v>700</v>
      </c>
      <c r="C386" s="111"/>
      <c r="D386" s="118" t="s">
        <v>701</v>
      </c>
      <c r="E386" s="113" t="s">
        <v>75</v>
      </c>
      <c r="F386" s="119" t="n">
        <v>0</v>
      </c>
      <c r="G386" s="119" t="n">
        <v>0</v>
      </c>
      <c r="H386" s="115" t="n">
        <f aca="false">IFERROR(SUM($F386:$G386),"")</f>
        <v>0</v>
      </c>
      <c r="J386" s="116"/>
      <c r="K386" s="116"/>
      <c r="L386" s="116"/>
      <c r="M386" s="116"/>
      <c r="N386" s="116"/>
      <c r="O386" s="116"/>
      <c r="P386" s="116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</row>
    <row r="387" customFormat="false" ht="16.5" hidden="true" customHeight="true" outlineLevel="0" collapsed="false">
      <c r="A387" s="102"/>
      <c r="B387" s="117" t="s">
        <v>702</v>
      </c>
      <c r="C387" s="111"/>
      <c r="D387" s="118" t="s">
        <v>703</v>
      </c>
      <c r="E387" s="113" t="s">
        <v>75</v>
      </c>
      <c r="F387" s="119" t="n">
        <v>0</v>
      </c>
      <c r="G387" s="119" t="n">
        <v>0</v>
      </c>
      <c r="H387" s="115" t="n">
        <f aca="false">IFERROR(SUM($F387:$G387),"")</f>
        <v>0</v>
      </c>
      <c r="J387" s="116"/>
      <c r="K387" s="116"/>
      <c r="L387" s="116"/>
      <c r="M387" s="116"/>
      <c r="N387" s="116"/>
      <c r="O387" s="116"/>
      <c r="P387" s="116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</row>
    <row r="388" customFormat="false" ht="16.5" hidden="true" customHeight="true" outlineLevel="0" collapsed="false">
      <c r="A388" s="102"/>
      <c r="B388" s="117" t="s">
        <v>704</v>
      </c>
      <c r="C388" s="111"/>
      <c r="D388" s="118" t="s">
        <v>705</v>
      </c>
      <c r="E388" s="113" t="s">
        <v>75</v>
      </c>
      <c r="F388" s="119" t="n">
        <v>0</v>
      </c>
      <c r="G388" s="119" t="n">
        <v>0</v>
      </c>
      <c r="H388" s="115" t="n">
        <f aca="false">IFERROR(SUM($F388:$G388),"")</f>
        <v>0</v>
      </c>
      <c r="J388" s="116"/>
      <c r="K388" s="116"/>
      <c r="L388" s="116"/>
      <c r="M388" s="116"/>
      <c r="N388" s="116"/>
      <c r="O388" s="116"/>
      <c r="P388" s="116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</row>
    <row r="389" customFormat="false" ht="16.5" hidden="true" customHeight="true" outlineLevel="0" collapsed="false">
      <c r="A389" s="102"/>
      <c r="B389" s="117" t="s">
        <v>706</v>
      </c>
      <c r="C389" s="111"/>
      <c r="D389" s="118" t="s">
        <v>707</v>
      </c>
      <c r="E389" s="113" t="s">
        <v>75</v>
      </c>
      <c r="F389" s="119" t="n">
        <v>0</v>
      </c>
      <c r="G389" s="119" t="n">
        <v>0</v>
      </c>
      <c r="H389" s="115" t="n">
        <f aca="false">IFERROR(SUM($F389:$G389),"")</f>
        <v>0</v>
      </c>
      <c r="J389" s="116"/>
      <c r="K389" s="116"/>
      <c r="L389" s="116"/>
      <c r="M389" s="116"/>
      <c r="N389" s="116"/>
      <c r="O389" s="116"/>
      <c r="P389" s="116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</row>
    <row r="390" customFormat="false" ht="16.5" hidden="true" customHeight="true" outlineLevel="0" collapsed="false">
      <c r="A390" s="102"/>
      <c r="B390" s="117" t="s">
        <v>708</v>
      </c>
      <c r="C390" s="111"/>
      <c r="D390" s="163" t="s">
        <v>709</v>
      </c>
      <c r="E390" s="113" t="s">
        <v>75</v>
      </c>
      <c r="F390" s="119" t="n">
        <v>0</v>
      </c>
      <c r="G390" s="119" t="n">
        <v>0</v>
      </c>
      <c r="H390" s="115" t="n">
        <f aca="false">IFERROR(SUM($F390:$G390),"")</f>
        <v>0</v>
      </c>
      <c r="J390" s="116"/>
      <c r="K390" s="116"/>
      <c r="L390" s="116"/>
      <c r="M390" s="116"/>
      <c r="N390" s="116"/>
      <c r="O390" s="116"/>
      <c r="P390" s="116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</row>
    <row r="391" customFormat="false" ht="16.5" hidden="true" customHeight="true" outlineLevel="0" collapsed="false">
      <c r="A391" s="102"/>
      <c r="B391" s="117" t="s">
        <v>710</v>
      </c>
      <c r="C391" s="111"/>
      <c r="D391" s="118" t="s">
        <v>711</v>
      </c>
      <c r="E391" s="113" t="s">
        <v>75</v>
      </c>
      <c r="F391" s="119" t="n">
        <v>0</v>
      </c>
      <c r="G391" s="119" t="n">
        <v>0</v>
      </c>
      <c r="H391" s="115" t="n">
        <f aca="false">IFERROR(SUM($F391:$G391),"")</f>
        <v>0</v>
      </c>
      <c r="J391" s="116"/>
      <c r="K391" s="116"/>
      <c r="L391" s="116"/>
      <c r="M391" s="116"/>
      <c r="N391" s="116"/>
      <c r="O391" s="116"/>
      <c r="P391" s="116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</row>
    <row r="392" customFormat="false" ht="16.5" hidden="true" customHeight="true" outlineLevel="0" collapsed="false">
      <c r="A392" s="102"/>
      <c r="B392" s="117" t="s">
        <v>712</v>
      </c>
      <c r="C392" s="111"/>
      <c r="D392" s="118" t="s">
        <v>713</v>
      </c>
      <c r="E392" s="113" t="s">
        <v>75</v>
      </c>
      <c r="F392" s="119" t="n">
        <v>0</v>
      </c>
      <c r="G392" s="119" t="n">
        <v>0</v>
      </c>
      <c r="H392" s="115" t="n">
        <f aca="false">IFERROR(SUM($F392:$G392),"")</f>
        <v>0</v>
      </c>
      <c r="J392" s="116"/>
      <c r="K392" s="116"/>
      <c r="L392" s="116"/>
      <c r="M392" s="116"/>
      <c r="N392" s="116"/>
      <c r="O392" s="116"/>
      <c r="P392" s="116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</row>
    <row r="393" customFormat="false" ht="16.5" hidden="true" customHeight="true" outlineLevel="0" collapsed="false">
      <c r="A393" s="102"/>
      <c r="B393" s="117" t="s">
        <v>714</v>
      </c>
      <c r="C393" s="111"/>
      <c r="D393" s="118" t="s">
        <v>715</v>
      </c>
      <c r="E393" s="113" t="s">
        <v>75</v>
      </c>
      <c r="F393" s="119" t="n">
        <v>0</v>
      </c>
      <c r="G393" s="119" t="n">
        <v>0</v>
      </c>
      <c r="H393" s="115" t="n">
        <f aca="false">IFERROR(SUM($F393:$G393),"")</f>
        <v>0</v>
      </c>
      <c r="J393" s="116"/>
      <c r="K393" s="116"/>
      <c r="L393" s="116"/>
      <c r="M393" s="116"/>
      <c r="N393" s="116"/>
      <c r="O393" s="116"/>
      <c r="P393" s="116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</row>
    <row r="394" customFormat="false" ht="16.5" hidden="true" customHeight="true" outlineLevel="0" collapsed="false">
      <c r="A394" s="102"/>
      <c r="B394" s="117" t="s">
        <v>716</v>
      </c>
      <c r="C394" s="111"/>
      <c r="D394" s="118" t="s">
        <v>717</v>
      </c>
      <c r="E394" s="113" t="s">
        <v>75</v>
      </c>
      <c r="F394" s="119" t="n">
        <v>0</v>
      </c>
      <c r="G394" s="119" t="n">
        <v>0</v>
      </c>
      <c r="H394" s="115" t="n">
        <f aca="false">IFERROR(SUM($F394:$G394),"")</f>
        <v>0</v>
      </c>
      <c r="J394" s="116"/>
      <c r="K394" s="116"/>
      <c r="L394" s="116"/>
      <c r="M394" s="116"/>
      <c r="N394" s="116"/>
      <c r="O394" s="116"/>
      <c r="P394" s="116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</row>
    <row r="395" customFormat="false" ht="16.5" hidden="true" customHeight="true" outlineLevel="0" collapsed="false">
      <c r="A395" s="102"/>
      <c r="B395" s="117" t="s">
        <v>718</v>
      </c>
      <c r="C395" s="111"/>
      <c r="D395" s="118" t="s">
        <v>719</v>
      </c>
      <c r="E395" s="113" t="s">
        <v>75</v>
      </c>
      <c r="F395" s="119" t="n">
        <v>0</v>
      </c>
      <c r="G395" s="119" t="n">
        <v>0</v>
      </c>
      <c r="H395" s="115" t="n">
        <f aca="false">IFERROR(SUM($F395:$G395),"")</f>
        <v>0</v>
      </c>
      <c r="J395" s="116"/>
      <c r="K395" s="116"/>
      <c r="L395" s="116"/>
      <c r="M395" s="116"/>
      <c r="N395" s="116"/>
      <c r="O395" s="116"/>
      <c r="P395" s="116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</row>
    <row r="396" customFormat="false" ht="16.5" hidden="true" customHeight="true" outlineLevel="0" collapsed="false">
      <c r="A396" s="102"/>
      <c r="B396" s="117" t="s">
        <v>720</v>
      </c>
      <c r="C396" s="111"/>
      <c r="D396" s="118" t="s">
        <v>721</v>
      </c>
      <c r="E396" s="113" t="s">
        <v>75</v>
      </c>
      <c r="F396" s="119" t="n">
        <v>0</v>
      </c>
      <c r="G396" s="119" t="n">
        <v>0</v>
      </c>
      <c r="H396" s="115" t="n">
        <f aca="false">IFERROR(SUM($F396:$G396),"")</f>
        <v>0</v>
      </c>
      <c r="J396" s="116"/>
      <c r="K396" s="116"/>
      <c r="L396" s="116"/>
      <c r="M396" s="116"/>
      <c r="N396" s="116"/>
      <c r="O396" s="116"/>
      <c r="P396" s="116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</row>
    <row r="397" customFormat="false" ht="16.5" hidden="true" customHeight="true" outlineLevel="0" collapsed="false">
      <c r="A397" s="102"/>
      <c r="B397" s="117" t="s">
        <v>722</v>
      </c>
      <c r="C397" s="111"/>
      <c r="D397" s="118" t="s">
        <v>723</v>
      </c>
      <c r="E397" s="113" t="s">
        <v>75</v>
      </c>
      <c r="F397" s="119" t="n">
        <v>0</v>
      </c>
      <c r="G397" s="119" t="n">
        <v>0</v>
      </c>
      <c r="H397" s="115" t="n">
        <f aca="false">IFERROR(SUM($F397:$G397),"")</f>
        <v>0</v>
      </c>
      <c r="J397" s="116"/>
      <c r="K397" s="116"/>
      <c r="L397" s="116"/>
      <c r="M397" s="116"/>
      <c r="N397" s="116"/>
      <c r="O397" s="116"/>
      <c r="P397" s="116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</row>
    <row r="398" customFormat="false" ht="16.5" hidden="true" customHeight="true" outlineLevel="0" collapsed="false">
      <c r="A398" s="102"/>
      <c r="B398" s="117" t="s">
        <v>724</v>
      </c>
      <c r="C398" s="111"/>
      <c r="D398" s="118" t="s">
        <v>725</v>
      </c>
      <c r="E398" s="113" t="s">
        <v>75</v>
      </c>
      <c r="F398" s="119" t="n">
        <v>0</v>
      </c>
      <c r="G398" s="119" t="n">
        <v>0</v>
      </c>
      <c r="H398" s="115" t="n">
        <f aca="false">IFERROR(SUM($F398:$G398),"")</f>
        <v>0</v>
      </c>
      <c r="J398" s="116"/>
      <c r="K398" s="116"/>
      <c r="L398" s="116"/>
      <c r="M398" s="116"/>
      <c r="N398" s="116"/>
      <c r="O398" s="116"/>
      <c r="P398" s="116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</row>
    <row r="399" customFormat="false" ht="16.5" hidden="true" customHeight="true" outlineLevel="0" collapsed="false">
      <c r="A399" s="102"/>
      <c r="B399" s="117" t="s">
        <v>726</v>
      </c>
      <c r="C399" s="111"/>
      <c r="D399" s="118" t="s">
        <v>727</v>
      </c>
      <c r="E399" s="113" t="s">
        <v>75</v>
      </c>
      <c r="F399" s="119" t="n">
        <v>0</v>
      </c>
      <c r="G399" s="119" t="n">
        <v>0</v>
      </c>
      <c r="H399" s="115" t="n">
        <f aca="false">IFERROR(SUM($F399:$G399),"")</f>
        <v>0</v>
      </c>
      <c r="J399" s="116"/>
      <c r="K399" s="116"/>
      <c r="L399" s="116"/>
      <c r="M399" s="116"/>
      <c r="N399" s="116"/>
      <c r="O399" s="116"/>
      <c r="P399" s="116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</row>
    <row r="400" customFormat="false" ht="16.5" hidden="true" customHeight="true" outlineLevel="0" collapsed="false">
      <c r="A400" s="102"/>
      <c r="B400" s="117" t="s">
        <v>728</v>
      </c>
      <c r="C400" s="111"/>
      <c r="D400" s="118" t="s">
        <v>729</v>
      </c>
      <c r="E400" s="113" t="s">
        <v>75</v>
      </c>
      <c r="F400" s="119" t="n">
        <v>0</v>
      </c>
      <c r="G400" s="119" t="n">
        <v>0</v>
      </c>
      <c r="H400" s="115" t="n">
        <f aca="false">IFERROR(SUM($F400:$G400),"")</f>
        <v>0</v>
      </c>
      <c r="J400" s="116"/>
      <c r="K400" s="116"/>
      <c r="L400" s="116"/>
      <c r="M400" s="116"/>
      <c r="N400" s="116"/>
      <c r="O400" s="116"/>
      <c r="P400" s="116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</row>
    <row r="401" customFormat="false" ht="16.5" hidden="true" customHeight="true" outlineLevel="0" collapsed="false">
      <c r="A401" s="102"/>
      <c r="B401" s="117" t="s">
        <v>730</v>
      </c>
      <c r="C401" s="111"/>
      <c r="D401" s="118" t="s">
        <v>731</v>
      </c>
      <c r="E401" s="113" t="s">
        <v>75</v>
      </c>
      <c r="F401" s="119" t="n">
        <v>0</v>
      </c>
      <c r="G401" s="119" t="n">
        <v>0</v>
      </c>
      <c r="H401" s="115" t="n">
        <f aca="false">IFERROR(SUM($F401:$G401),"")</f>
        <v>0</v>
      </c>
      <c r="J401" s="116"/>
      <c r="K401" s="116"/>
      <c r="L401" s="116"/>
      <c r="M401" s="116"/>
      <c r="N401" s="116"/>
      <c r="O401" s="116"/>
      <c r="P401" s="116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</row>
    <row r="402" customFormat="false" ht="16.5" hidden="true" customHeight="true" outlineLevel="0" collapsed="false">
      <c r="A402" s="102"/>
      <c r="B402" s="117" t="s">
        <v>732</v>
      </c>
      <c r="C402" s="111"/>
      <c r="D402" s="118" t="s">
        <v>733</v>
      </c>
      <c r="E402" s="113" t="s">
        <v>75</v>
      </c>
      <c r="F402" s="119" t="n">
        <v>0</v>
      </c>
      <c r="G402" s="119" t="n">
        <v>0</v>
      </c>
      <c r="H402" s="115" t="n">
        <f aca="false">IFERROR(SUM($F402:$G402),"")</f>
        <v>0</v>
      </c>
      <c r="J402" s="116"/>
      <c r="K402" s="116"/>
      <c r="L402" s="116"/>
      <c r="M402" s="116"/>
      <c r="N402" s="116"/>
      <c r="O402" s="116"/>
      <c r="P402" s="116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</row>
    <row r="403" customFormat="false" ht="16.5" hidden="true" customHeight="true" outlineLevel="0" collapsed="false">
      <c r="A403" s="102"/>
      <c r="B403" s="117" t="s">
        <v>734</v>
      </c>
      <c r="C403" s="111"/>
      <c r="D403" s="118" t="s">
        <v>735</v>
      </c>
      <c r="E403" s="113" t="s">
        <v>75</v>
      </c>
      <c r="F403" s="119" t="n">
        <v>0</v>
      </c>
      <c r="G403" s="119" t="n">
        <v>0</v>
      </c>
      <c r="H403" s="115" t="n">
        <f aca="false">IFERROR(SUM($F403:$G403),"")</f>
        <v>0</v>
      </c>
      <c r="J403" s="116"/>
      <c r="K403" s="116"/>
      <c r="L403" s="116"/>
      <c r="M403" s="116"/>
      <c r="N403" s="116"/>
      <c r="O403" s="116"/>
      <c r="P403" s="116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</row>
    <row r="404" customFormat="false" ht="16.5" hidden="true" customHeight="true" outlineLevel="0" collapsed="false">
      <c r="A404" s="102"/>
      <c r="B404" s="117" t="s">
        <v>736</v>
      </c>
      <c r="C404" s="111"/>
      <c r="D404" s="118" t="s">
        <v>737</v>
      </c>
      <c r="E404" s="113" t="s">
        <v>75</v>
      </c>
      <c r="F404" s="119" t="n">
        <v>0</v>
      </c>
      <c r="G404" s="119" t="n">
        <v>0</v>
      </c>
      <c r="H404" s="115" t="n">
        <f aca="false">IFERROR(SUM($F404:$G404),"")</f>
        <v>0</v>
      </c>
      <c r="J404" s="116"/>
      <c r="K404" s="116"/>
      <c r="L404" s="116"/>
      <c r="M404" s="116"/>
      <c r="N404" s="116"/>
      <c r="O404" s="116"/>
      <c r="P404" s="116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</row>
    <row r="405" customFormat="false" ht="16.5" hidden="true" customHeight="true" outlineLevel="0" collapsed="false">
      <c r="A405" s="102"/>
      <c r="B405" s="117" t="s">
        <v>738</v>
      </c>
      <c r="C405" s="111"/>
      <c r="D405" s="118" t="s">
        <v>739</v>
      </c>
      <c r="E405" s="113" t="s">
        <v>75</v>
      </c>
      <c r="F405" s="119" t="n">
        <v>0</v>
      </c>
      <c r="G405" s="119" t="n">
        <v>0</v>
      </c>
      <c r="H405" s="115" t="n">
        <f aca="false">IFERROR(SUM($F405:$G405),"")</f>
        <v>0</v>
      </c>
      <c r="J405" s="116"/>
      <c r="K405" s="116"/>
      <c r="L405" s="116"/>
      <c r="M405" s="116"/>
      <c r="N405" s="116"/>
      <c r="O405" s="116"/>
      <c r="P405" s="116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</row>
    <row r="406" customFormat="false" ht="16.5" hidden="true" customHeight="true" outlineLevel="0" collapsed="false">
      <c r="A406" s="102"/>
      <c r="B406" s="117" t="s">
        <v>740</v>
      </c>
      <c r="C406" s="111"/>
      <c r="D406" s="118" t="s">
        <v>741</v>
      </c>
      <c r="E406" s="113" t="s">
        <v>75</v>
      </c>
      <c r="F406" s="119" t="n">
        <v>0</v>
      </c>
      <c r="G406" s="119" t="n">
        <v>0</v>
      </c>
      <c r="H406" s="115" t="n">
        <f aca="false">IFERROR(SUM($F406:$G406),"")</f>
        <v>0</v>
      </c>
      <c r="J406" s="116"/>
      <c r="K406" s="116"/>
      <c r="L406" s="116"/>
      <c r="M406" s="116"/>
      <c r="N406" s="116"/>
      <c r="O406" s="116"/>
      <c r="P406" s="116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</row>
    <row r="407" customFormat="false" ht="16.5" hidden="true" customHeight="true" outlineLevel="0" collapsed="false">
      <c r="A407" s="102"/>
      <c r="B407" s="117" t="s">
        <v>742</v>
      </c>
      <c r="C407" s="111"/>
      <c r="D407" s="118" t="s">
        <v>743</v>
      </c>
      <c r="E407" s="113" t="s">
        <v>75</v>
      </c>
      <c r="F407" s="119" t="n">
        <v>0</v>
      </c>
      <c r="G407" s="119" t="n">
        <v>0</v>
      </c>
      <c r="H407" s="115" t="n">
        <f aca="false">IFERROR(SUM($F407:$G407),"")</f>
        <v>0</v>
      </c>
      <c r="J407" s="116"/>
      <c r="K407" s="116"/>
      <c r="L407" s="116"/>
      <c r="M407" s="116"/>
      <c r="N407" s="116"/>
      <c r="O407" s="116"/>
      <c r="P407" s="116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</row>
    <row r="408" customFormat="false" ht="16.5" hidden="true" customHeight="true" outlineLevel="0" collapsed="false">
      <c r="A408" s="102"/>
      <c r="B408" s="117" t="s">
        <v>744</v>
      </c>
      <c r="C408" s="111"/>
      <c r="D408" s="118" t="s">
        <v>745</v>
      </c>
      <c r="E408" s="113" t="s">
        <v>75</v>
      </c>
      <c r="F408" s="119" t="n">
        <v>0</v>
      </c>
      <c r="G408" s="119" t="n">
        <v>0</v>
      </c>
      <c r="H408" s="115" t="n">
        <f aca="false">IFERROR(SUM($F408:$G408),"")</f>
        <v>0</v>
      </c>
      <c r="J408" s="116"/>
      <c r="K408" s="116"/>
      <c r="L408" s="116"/>
      <c r="M408" s="116"/>
      <c r="N408" s="116"/>
      <c r="O408" s="116"/>
      <c r="P408" s="116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</row>
    <row r="409" customFormat="false" ht="16.5" hidden="true" customHeight="true" outlineLevel="0" collapsed="false">
      <c r="A409" s="102"/>
      <c r="B409" s="117" t="s">
        <v>746</v>
      </c>
      <c r="C409" s="111"/>
      <c r="D409" s="118" t="s">
        <v>747</v>
      </c>
      <c r="E409" s="113" t="s">
        <v>75</v>
      </c>
      <c r="F409" s="119" t="n">
        <v>0</v>
      </c>
      <c r="G409" s="119" t="n">
        <v>0</v>
      </c>
      <c r="H409" s="115" t="n">
        <f aca="false">IFERROR(SUM($F409:$G409),"")</f>
        <v>0</v>
      </c>
      <c r="J409" s="116"/>
      <c r="K409" s="116"/>
      <c r="L409" s="116"/>
      <c r="M409" s="116"/>
      <c r="N409" s="116"/>
      <c r="O409" s="116"/>
      <c r="P409" s="116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</row>
    <row r="410" customFormat="false" ht="16.5" hidden="true" customHeight="true" outlineLevel="0" collapsed="false">
      <c r="A410" s="102"/>
      <c r="B410" s="117" t="s">
        <v>748</v>
      </c>
      <c r="C410" s="111"/>
      <c r="D410" s="118" t="s">
        <v>749</v>
      </c>
      <c r="E410" s="113" t="s">
        <v>75</v>
      </c>
      <c r="F410" s="119" t="n">
        <v>0</v>
      </c>
      <c r="G410" s="119" t="n">
        <v>0</v>
      </c>
      <c r="H410" s="115" t="n">
        <f aca="false">IFERROR(SUM($F410:$G410),"")</f>
        <v>0</v>
      </c>
      <c r="J410" s="116"/>
      <c r="K410" s="116"/>
      <c r="L410" s="116"/>
      <c r="M410" s="116"/>
      <c r="N410" s="116"/>
      <c r="O410" s="116"/>
      <c r="P410" s="116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</row>
    <row r="411" customFormat="false" ht="16.5" hidden="true" customHeight="true" outlineLevel="0" collapsed="false">
      <c r="A411" s="102"/>
      <c r="B411" s="117" t="s">
        <v>750</v>
      </c>
      <c r="C411" s="111"/>
      <c r="D411" s="163" t="s">
        <v>751</v>
      </c>
      <c r="E411" s="113" t="s">
        <v>75</v>
      </c>
      <c r="F411" s="119" t="n">
        <v>0</v>
      </c>
      <c r="G411" s="119" t="n">
        <v>0</v>
      </c>
      <c r="H411" s="115" t="n">
        <f aca="false">IFERROR(SUM($F411:$G411),"")</f>
        <v>0</v>
      </c>
      <c r="J411" s="116"/>
      <c r="K411" s="116"/>
      <c r="L411" s="116"/>
      <c r="M411" s="116"/>
      <c r="N411" s="116"/>
      <c r="O411" s="116"/>
      <c r="P411" s="116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</row>
    <row r="412" customFormat="false" ht="16.5" hidden="true" customHeight="true" outlineLevel="0" collapsed="false">
      <c r="A412" s="102"/>
      <c r="B412" s="117" t="s">
        <v>752</v>
      </c>
      <c r="C412" s="111"/>
      <c r="D412" s="118" t="s">
        <v>753</v>
      </c>
      <c r="E412" s="113" t="s">
        <v>75</v>
      </c>
      <c r="F412" s="119" t="n">
        <v>0</v>
      </c>
      <c r="G412" s="119" t="n">
        <v>0</v>
      </c>
      <c r="H412" s="115" t="n">
        <f aca="false">IFERROR(SUM($F412:$G412),"")</f>
        <v>0</v>
      </c>
      <c r="J412" s="116"/>
      <c r="K412" s="116"/>
      <c r="L412" s="116"/>
      <c r="M412" s="116"/>
      <c r="N412" s="116"/>
      <c r="O412" s="116"/>
      <c r="P412" s="116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</row>
    <row r="413" customFormat="false" ht="16.5" hidden="true" customHeight="true" outlineLevel="0" collapsed="false">
      <c r="A413" s="102"/>
      <c r="B413" s="117" t="s">
        <v>754</v>
      </c>
      <c r="C413" s="111"/>
      <c r="D413" s="118" t="s">
        <v>755</v>
      </c>
      <c r="E413" s="113" t="s">
        <v>75</v>
      </c>
      <c r="F413" s="119" t="n">
        <v>0</v>
      </c>
      <c r="G413" s="119" t="n">
        <v>0</v>
      </c>
      <c r="H413" s="115" t="n">
        <f aca="false">IFERROR(SUM($F413:$G413),"")</f>
        <v>0</v>
      </c>
      <c r="J413" s="116"/>
      <c r="K413" s="116"/>
      <c r="L413" s="116"/>
      <c r="M413" s="116"/>
      <c r="N413" s="116"/>
      <c r="O413" s="116"/>
      <c r="P413" s="116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</row>
    <row r="414" customFormat="false" ht="16.5" hidden="true" customHeight="true" outlineLevel="0" collapsed="false">
      <c r="A414" s="102"/>
      <c r="B414" s="117" t="s">
        <v>756</v>
      </c>
      <c r="C414" s="111"/>
      <c r="D414" s="118" t="s">
        <v>757</v>
      </c>
      <c r="E414" s="113" t="s">
        <v>75</v>
      </c>
      <c r="F414" s="119" t="n">
        <v>0</v>
      </c>
      <c r="G414" s="119" t="n">
        <v>0</v>
      </c>
      <c r="H414" s="115" t="n">
        <f aca="false">IFERROR(SUM($F414:$G414),"")</f>
        <v>0</v>
      </c>
      <c r="J414" s="116"/>
      <c r="K414" s="116"/>
      <c r="L414" s="116"/>
      <c r="M414" s="116"/>
      <c r="N414" s="116"/>
      <c r="O414" s="116"/>
      <c r="P414" s="116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</row>
    <row r="415" customFormat="false" ht="16.5" hidden="true" customHeight="true" outlineLevel="0" collapsed="false">
      <c r="A415" s="102"/>
      <c r="B415" s="117" t="s">
        <v>758</v>
      </c>
      <c r="C415" s="111"/>
      <c r="D415" s="118" t="s">
        <v>759</v>
      </c>
      <c r="E415" s="113" t="s">
        <v>75</v>
      </c>
      <c r="F415" s="119" t="n">
        <v>0</v>
      </c>
      <c r="G415" s="119" t="n">
        <v>0</v>
      </c>
      <c r="H415" s="115" t="n">
        <f aca="false">IFERROR(SUM($F415:$G415),"")</f>
        <v>0</v>
      </c>
      <c r="J415" s="116"/>
      <c r="K415" s="116"/>
      <c r="L415" s="116"/>
      <c r="M415" s="116"/>
      <c r="N415" s="116"/>
      <c r="O415" s="116"/>
      <c r="P415" s="116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</row>
    <row r="416" customFormat="false" ht="16.5" hidden="true" customHeight="true" outlineLevel="0" collapsed="false">
      <c r="A416" s="102"/>
      <c r="B416" s="117" t="s">
        <v>760</v>
      </c>
      <c r="C416" s="111"/>
      <c r="D416" s="118" t="s">
        <v>761</v>
      </c>
      <c r="E416" s="113" t="s">
        <v>75</v>
      </c>
      <c r="F416" s="119" t="n">
        <v>0</v>
      </c>
      <c r="G416" s="119" t="n">
        <v>0</v>
      </c>
      <c r="H416" s="115" t="n">
        <f aca="false">IFERROR(SUM($F416:$G416),"")</f>
        <v>0</v>
      </c>
      <c r="J416" s="116"/>
      <c r="K416" s="116"/>
      <c r="L416" s="116"/>
      <c r="M416" s="116"/>
      <c r="N416" s="116"/>
      <c r="O416" s="116"/>
      <c r="P416" s="116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</row>
    <row r="417" customFormat="false" ht="16.5" hidden="true" customHeight="true" outlineLevel="0" collapsed="false">
      <c r="A417" s="102"/>
      <c r="B417" s="117" t="s">
        <v>762</v>
      </c>
      <c r="C417" s="111"/>
      <c r="D417" s="118" t="s">
        <v>763</v>
      </c>
      <c r="E417" s="113" t="s">
        <v>75</v>
      </c>
      <c r="F417" s="119" t="n">
        <v>0</v>
      </c>
      <c r="G417" s="119" t="n">
        <v>0</v>
      </c>
      <c r="H417" s="115" t="n">
        <f aca="false">IFERROR(SUM($F417:$G417),"")</f>
        <v>0</v>
      </c>
      <c r="J417" s="116"/>
      <c r="K417" s="116"/>
      <c r="L417" s="116"/>
      <c r="M417" s="116"/>
      <c r="N417" s="116"/>
      <c r="O417" s="116"/>
      <c r="P417" s="116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</row>
    <row r="418" customFormat="false" ht="16.5" hidden="true" customHeight="true" outlineLevel="0" collapsed="false">
      <c r="A418" s="102"/>
      <c r="B418" s="117" t="s">
        <v>764</v>
      </c>
      <c r="C418" s="111"/>
      <c r="D418" s="163" t="s">
        <v>765</v>
      </c>
      <c r="E418" s="113" t="s">
        <v>75</v>
      </c>
      <c r="F418" s="119" t="n">
        <v>0</v>
      </c>
      <c r="G418" s="119" t="n">
        <v>0</v>
      </c>
      <c r="H418" s="115" t="n">
        <f aca="false">IFERROR(SUM($F418:$G418),"")</f>
        <v>0</v>
      </c>
      <c r="J418" s="116"/>
      <c r="K418" s="116"/>
      <c r="L418" s="116"/>
      <c r="M418" s="116"/>
      <c r="N418" s="116"/>
      <c r="O418" s="116"/>
      <c r="P418" s="116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</row>
    <row r="419" customFormat="false" ht="16.5" hidden="true" customHeight="true" outlineLevel="0" collapsed="false">
      <c r="A419" s="102"/>
      <c r="B419" s="117" t="s">
        <v>766</v>
      </c>
      <c r="C419" s="111"/>
      <c r="D419" s="163" t="s">
        <v>767</v>
      </c>
      <c r="E419" s="113" t="s">
        <v>75</v>
      </c>
      <c r="F419" s="119" t="n">
        <v>0</v>
      </c>
      <c r="G419" s="119" t="n">
        <v>0</v>
      </c>
      <c r="H419" s="115" t="n">
        <f aca="false">IFERROR(SUM($F419:$G419),"")</f>
        <v>0</v>
      </c>
      <c r="J419" s="116"/>
      <c r="K419" s="116"/>
      <c r="L419" s="116"/>
      <c r="M419" s="116"/>
      <c r="N419" s="116"/>
      <c r="O419" s="116"/>
      <c r="P419" s="116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</row>
    <row r="420" customFormat="false" ht="16.5" hidden="true" customHeight="true" outlineLevel="0" collapsed="false">
      <c r="A420" s="102"/>
      <c r="B420" s="117" t="s">
        <v>768</v>
      </c>
      <c r="C420" s="111"/>
      <c r="D420" s="118" t="s">
        <v>769</v>
      </c>
      <c r="E420" s="113" t="s">
        <v>75</v>
      </c>
      <c r="F420" s="119" t="n">
        <v>0</v>
      </c>
      <c r="G420" s="119" t="n">
        <v>0</v>
      </c>
      <c r="H420" s="115" t="n">
        <f aca="false">IFERROR(SUM($F420:$G420),"")</f>
        <v>0</v>
      </c>
      <c r="J420" s="116"/>
      <c r="K420" s="116"/>
      <c r="L420" s="116"/>
      <c r="M420" s="116"/>
      <c r="N420" s="116"/>
      <c r="O420" s="116"/>
      <c r="P420" s="116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</row>
    <row r="421" customFormat="false" ht="16.5" hidden="true" customHeight="true" outlineLevel="0" collapsed="false">
      <c r="A421" s="102"/>
      <c r="B421" s="117" t="s">
        <v>770</v>
      </c>
      <c r="C421" s="111"/>
      <c r="D421" s="118" t="s">
        <v>771</v>
      </c>
      <c r="E421" s="113" t="s">
        <v>75</v>
      </c>
      <c r="F421" s="119" t="n">
        <v>0</v>
      </c>
      <c r="G421" s="119" t="n">
        <v>0</v>
      </c>
      <c r="H421" s="115" t="n">
        <f aca="false">IFERROR(SUM($F421:$G421),"")</f>
        <v>0</v>
      </c>
      <c r="J421" s="116"/>
      <c r="K421" s="116"/>
      <c r="L421" s="116"/>
      <c r="M421" s="116"/>
      <c r="N421" s="116"/>
      <c r="O421" s="116"/>
      <c r="P421" s="116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</row>
    <row r="422" customFormat="false" ht="16.5" hidden="true" customHeight="true" outlineLevel="0" collapsed="false">
      <c r="A422" s="102"/>
      <c r="B422" s="117" t="s">
        <v>772</v>
      </c>
      <c r="C422" s="111"/>
      <c r="D422" s="163" t="s">
        <v>773</v>
      </c>
      <c r="E422" s="113" t="s">
        <v>75</v>
      </c>
      <c r="F422" s="119" t="n">
        <v>0</v>
      </c>
      <c r="G422" s="119" t="n">
        <v>0</v>
      </c>
      <c r="H422" s="115" t="n">
        <f aca="false">IFERROR(SUM($F422:$G422),"")</f>
        <v>0</v>
      </c>
      <c r="J422" s="116"/>
      <c r="K422" s="116"/>
      <c r="L422" s="116"/>
      <c r="M422" s="116"/>
      <c r="N422" s="116"/>
      <c r="O422" s="116"/>
      <c r="P422" s="116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</row>
    <row r="423" customFormat="false" ht="16.5" hidden="true" customHeight="true" outlineLevel="0" collapsed="false">
      <c r="A423" s="102"/>
      <c r="B423" s="117" t="s">
        <v>774</v>
      </c>
      <c r="C423" s="111"/>
      <c r="D423" s="163" t="s">
        <v>775</v>
      </c>
      <c r="E423" s="113" t="s">
        <v>75</v>
      </c>
      <c r="F423" s="119" t="n">
        <v>0</v>
      </c>
      <c r="G423" s="119" t="n">
        <v>0</v>
      </c>
      <c r="H423" s="115" t="n">
        <f aca="false">IFERROR(SUM($F423:$G423),"")</f>
        <v>0</v>
      </c>
      <c r="J423" s="116"/>
      <c r="K423" s="116"/>
      <c r="L423" s="116"/>
      <c r="M423" s="116"/>
      <c r="N423" s="116"/>
      <c r="O423" s="116"/>
      <c r="P423" s="116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</row>
    <row r="424" customFormat="false" ht="16.5" hidden="true" customHeight="true" outlineLevel="0" collapsed="false">
      <c r="A424" s="102"/>
      <c r="B424" s="117" t="s">
        <v>776</v>
      </c>
      <c r="C424" s="111"/>
      <c r="D424" s="118" t="s">
        <v>777</v>
      </c>
      <c r="E424" s="113" t="s">
        <v>75</v>
      </c>
      <c r="F424" s="119" t="n">
        <v>0</v>
      </c>
      <c r="G424" s="119" t="n">
        <v>0</v>
      </c>
      <c r="H424" s="115" t="n">
        <f aca="false">IFERROR(SUM($F424:$G424),"")</f>
        <v>0</v>
      </c>
      <c r="J424" s="116"/>
      <c r="K424" s="116"/>
      <c r="L424" s="116"/>
      <c r="M424" s="116"/>
      <c r="N424" s="116"/>
      <c r="O424" s="116"/>
      <c r="P424" s="116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</row>
    <row r="425" customFormat="false" ht="16.5" hidden="true" customHeight="true" outlineLevel="0" collapsed="false">
      <c r="A425" s="102"/>
      <c r="B425" s="117" t="s">
        <v>778</v>
      </c>
      <c r="C425" s="111"/>
      <c r="D425" s="118" t="s">
        <v>779</v>
      </c>
      <c r="E425" s="113" t="s">
        <v>75</v>
      </c>
      <c r="F425" s="119" t="n">
        <v>0</v>
      </c>
      <c r="G425" s="119" t="n">
        <v>0</v>
      </c>
      <c r="H425" s="115" t="n">
        <f aca="false">IFERROR(SUM($F425:$G425),"")</f>
        <v>0</v>
      </c>
      <c r="J425" s="116"/>
      <c r="K425" s="116"/>
      <c r="L425" s="116"/>
      <c r="M425" s="116"/>
      <c r="N425" s="116"/>
      <c r="O425" s="116"/>
      <c r="P425" s="116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</row>
    <row r="426" customFormat="false" ht="16.5" hidden="true" customHeight="true" outlineLevel="0" collapsed="false">
      <c r="A426" s="102"/>
      <c r="B426" s="117" t="s">
        <v>780</v>
      </c>
      <c r="C426" s="111"/>
      <c r="D426" s="118" t="s">
        <v>781</v>
      </c>
      <c r="E426" s="113" t="s">
        <v>75</v>
      </c>
      <c r="F426" s="119" t="n">
        <v>0</v>
      </c>
      <c r="G426" s="119" t="n">
        <v>0</v>
      </c>
      <c r="H426" s="115" t="n">
        <f aca="false">IFERROR(SUM($F426:$G426),"")</f>
        <v>0</v>
      </c>
      <c r="J426" s="116"/>
      <c r="K426" s="116"/>
      <c r="L426" s="116"/>
      <c r="M426" s="116"/>
      <c r="N426" s="116"/>
      <c r="O426" s="116"/>
      <c r="P426" s="116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</row>
    <row r="427" customFormat="false" ht="16.5" hidden="true" customHeight="true" outlineLevel="0" collapsed="false">
      <c r="A427" s="102"/>
      <c r="B427" s="117" t="s">
        <v>782</v>
      </c>
      <c r="C427" s="111"/>
      <c r="D427" s="118" t="s">
        <v>783</v>
      </c>
      <c r="E427" s="113" t="s">
        <v>75</v>
      </c>
      <c r="F427" s="119" t="n">
        <v>0</v>
      </c>
      <c r="G427" s="119" t="n">
        <v>0</v>
      </c>
      <c r="H427" s="115" t="n">
        <f aca="false">IFERROR(SUM($F427:$G427),"")</f>
        <v>0</v>
      </c>
      <c r="J427" s="116"/>
      <c r="K427" s="116"/>
      <c r="L427" s="116"/>
      <c r="M427" s="116"/>
      <c r="N427" s="116"/>
      <c r="O427" s="116"/>
      <c r="P427" s="116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</row>
    <row r="428" customFormat="false" ht="16.5" hidden="true" customHeight="true" outlineLevel="0" collapsed="false">
      <c r="A428" s="102"/>
      <c r="B428" s="110" t="s">
        <v>784</v>
      </c>
      <c r="C428" s="111"/>
      <c r="D428" s="219" t="s">
        <v>785</v>
      </c>
      <c r="E428" s="113"/>
      <c r="F428" s="119" t="n">
        <v>0</v>
      </c>
      <c r="G428" s="119" t="n">
        <v>0</v>
      </c>
      <c r="H428" s="115" t="n">
        <f aca="false">IFERROR(SUM($F428:$G428),"")</f>
        <v>0</v>
      </c>
      <c r="J428" s="116"/>
      <c r="K428" s="116"/>
      <c r="L428" s="116"/>
      <c r="M428" s="116"/>
      <c r="N428" s="116"/>
      <c r="O428" s="116"/>
      <c r="P428" s="116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</row>
    <row r="429" customFormat="false" ht="16.5" hidden="true" customHeight="true" outlineLevel="0" collapsed="false">
      <c r="A429" s="102"/>
      <c r="B429" s="117" t="s">
        <v>786</v>
      </c>
      <c r="C429" s="111"/>
      <c r="D429" s="118" t="s">
        <v>328</v>
      </c>
      <c r="E429" s="113" t="s">
        <v>75</v>
      </c>
      <c r="F429" s="119" t="n">
        <v>0</v>
      </c>
      <c r="G429" s="119" t="n">
        <v>0</v>
      </c>
      <c r="H429" s="115" t="n">
        <f aca="false">IFERROR(SUM($F429:$G429),"")</f>
        <v>0</v>
      </c>
      <c r="J429" s="116"/>
      <c r="K429" s="116"/>
      <c r="L429" s="116"/>
      <c r="M429" s="116"/>
      <c r="N429" s="116"/>
      <c r="O429" s="116"/>
      <c r="P429" s="116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</row>
    <row r="430" customFormat="false" ht="16.5" hidden="true" customHeight="true" outlineLevel="0" collapsed="false">
      <c r="A430" s="102"/>
      <c r="B430" s="117" t="s">
        <v>787</v>
      </c>
      <c r="C430" s="111"/>
      <c r="D430" s="118" t="s">
        <v>330</v>
      </c>
      <c r="E430" s="113" t="s">
        <v>75</v>
      </c>
      <c r="F430" s="119" t="n">
        <v>0</v>
      </c>
      <c r="G430" s="119" t="n">
        <v>0</v>
      </c>
      <c r="H430" s="115" t="n">
        <f aca="false">IFERROR(SUM($F430:$G430),"")</f>
        <v>0</v>
      </c>
      <c r="J430" s="116"/>
      <c r="K430" s="116"/>
      <c r="L430" s="116"/>
      <c r="M430" s="116"/>
      <c r="N430" s="116"/>
      <c r="O430" s="116"/>
      <c r="P430" s="116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</row>
    <row r="431" customFormat="false" ht="16.5" hidden="true" customHeight="true" outlineLevel="0" collapsed="false">
      <c r="A431" s="102"/>
      <c r="B431" s="117" t="s">
        <v>788</v>
      </c>
      <c r="C431" s="111"/>
      <c r="D431" s="118" t="s">
        <v>332</v>
      </c>
      <c r="E431" s="113" t="s">
        <v>75</v>
      </c>
      <c r="F431" s="119" t="n">
        <v>0</v>
      </c>
      <c r="G431" s="119" t="n">
        <v>0</v>
      </c>
      <c r="H431" s="115" t="n">
        <f aca="false">IFERROR(SUM($F431:$G431),"")</f>
        <v>0</v>
      </c>
      <c r="J431" s="116"/>
      <c r="K431" s="116"/>
      <c r="L431" s="116"/>
      <c r="M431" s="116"/>
      <c r="N431" s="116"/>
      <c r="O431" s="116"/>
      <c r="P431" s="116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</row>
    <row r="432" customFormat="false" ht="16.5" hidden="true" customHeight="true" outlineLevel="0" collapsed="false">
      <c r="A432" s="102"/>
      <c r="B432" s="117" t="s">
        <v>789</v>
      </c>
      <c r="C432" s="111"/>
      <c r="D432" s="118" t="s">
        <v>334</v>
      </c>
      <c r="E432" s="113" t="s">
        <v>75</v>
      </c>
      <c r="F432" s="119" t="n">
        <v>0</v>
      </c>
      <c r="G432" s="119" t="n">
        <v>0</v>
      </c>
      <c r="H432" s="115" t="n">
        <f aca="false">IFERROR(SUM($F432:$G432),"")</f>
        <v>0</v>
      </c>
      <c r="J432" s="116"/>
      <c r="K432" s="116"/>
      <c r="L432" s="116"/>
      <c r="M432" s="116"/>
      <c r="N432" s="116"/>
      <c r="O432" s="116"/>
      <c r="P432" s="116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</row>
    <row r="433" customFormat="false" ht="16.5" hidden="true" customHeight="true" outlineLevel="0" collapsed="false">
      <c r="A433" s="102"/>
      <c r="B433" s="117" t="s">
        <v>790</v>
      </c>
      <c r="C433" s="111"/>
      <c r="D433" s="118" t="s">
        <v>336</v>
      </c>
      <c r="E433" s="113" t="s">
        <v>75</v>
      </c>
      <c r="F433" s="119" t="n">
        <v>0</v>
      </c>
      <c r="G433" s="119" t="n">
        <v>0</v>
      </c>
      <c r="H433" s="115" t="n">
        <f aca="false">IFERROR(SUM($F433:$G433),"")</f>
        <v>0</v>
      </c>
      <c r="J433" s="116"/>
      <c r="K433" s="116"/>
      <c r="L433" s="116"/>
      <c r="M433" s="116"/>
      <c r="N433" s="116"/>
      <c r="O433" s="116"/>
      <c r="P433" s="116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</row>
    <row r="434" customFormat="false" ht="16.5" hidden="true" customHeight="true" outlineLevel="0" collapsed="false">
      <c r="A434" s="102"/>
      <c r="B434" s="117" t="s">
        <v>791</v>
      </c>
      <c r="C434" s="111"/>
      <c r="D434" s="118" t="s">
        <v>338</v>
      </c>
      <c r="E434" s="113" t="s">
        <v>75</v>
      </c>
      <c r="F434" s="119" t="n">
        <v>0</v>
      </c>
      <c r="G434" s="119" t="n">
        <v>0</v>
      </c>
      <c r="H434" s="115" t="n">
        <f aca="false">IFERROR(SUM($F434:$G434),"")</f>
        <v>0</v>
      </c>
      <c r="J434" s="116"/>
      <c r="K434" s="116"/>
      <c r="L434" s="116"/>
      <c r="M434" s="116"/>
      <c r="N434" s="116"/>
      <c r="O434" s="116"/>
      <c r="P434" s="116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</row>
    <row r="435" customFormat="false" ht="16.5" hidden="true" customHeight="true" outlineLevel="0" collapsed="false">
      <c r="A435" s="102"/>
      <c r="B435" s="117" t="s">
        <v>792</v>
      </c>
      <c r="C435" s="111"/>
      <c r="D435" s="118" t="s">
        <v>340</v>
      </c>
      <c r="E435" s="113" t="s">
        <v>75</v>
      </c>
      <c r="F435" s="119" t="n">
        <v>0</v>
      </c>
      <c r="G435" s="119" t="n">
        <v>0</v>
      </c>
      <c r="H435" s="115" t="n">
        <f aca="false">IFERROR(SUM($F435:$G435),"")</f>
        <v>0</v>
      </c>
      <c r="J435" s="116"/>
      <c r="K435" s="116"/>
      <c r="L435" s="116"/>
      <c r="M435" s="116"/>
      <c r="N435" s="116"/>
      <c r="O435" s="116"/>
      <c r="P435" s="116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</row>
    <row r="436" customFormat="false" ht="16.5" hidden="true" customHeight="true" outlineLevel="0" collapsed="false">
      <c r="A436" s="102"/>
      <c r="B436" s="117" t="s">
        <v>793</v>
      </c>
      <c r="C436" s="111"/>
      <c r="D436" s="118" t="s">
        <v>342</v>
      </c>
      <c r="E436" s="113" t="s">
        <v>75</v>
      </c>
      <c r="F436" s="119" t="n">
        <v>0</v>
      </c>
      <c r="G436" s="119" t="n">
        <v>0</v>
      </c>
      <c r="H436" s="115" t="n">
        <f aca="false">IFERROR(SUM($F436:$G436),"")</f>
        <v>0</v>
      </c>
      <c r="J436" s="116"/>
      <c r="K436" s="116"/>
      <c r="L436" s="116"/>
      <c r="M436" s="116"/>
      <c r="N436" s="116"/>
      <c r="O436" s="116"/>
      <c r="P436" s="116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</row>
    <row r="437" customFormat="false" ht="16.5" hidden="true" customHeight="true" outlineLevel="0" collapsed="false">
      <c r="A437" s="102"/>
      <c r="B437" s="117" t="s">
        <v>794</v>
      </c>
      <c r="C437" s="111"/>
      <c r="D437" s="118" t="s">
        <v>344</v>
      </c>
      <c r="E437" s="113" t="s">
        <v>75</v>
      </c>
      <c r="F437" s="119" t="n">
        <v>0</v>
      </c>
      <c r="G437" s="119" t="n">
        <v>0</v>
      </c>
      <c r="H437" s="115" t="n">
        <f aca="false">IFERROR(SUM($F437:$G437),"")</f>
        <v>0</v>
      </c>
      <c r="J437" s="116"/>
      <c r="K437" s="116"/>
      <c r="L437" s="116"/>
      <c r="M437" s="116"/>
      <c r="N437" s="116"/>
      <c r="O437" s="116"/>
      <c r="P437" s="116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</row>
    <row r="438" customFormat="false" ht="16.5" hidden="true" customHeight="true" outlineLevel="0" collapsed="false">
      <c r="A438" s="102"/>
      <c r="B438" s="117" t="s">
        <v>795</v>
      </c>
      <c r="C438" s="111"/>
      <c r="D438" s="118" t="s">
        <v>346</v>
      </c>
      <c r="E438" s="113" t="s">
        <v>75</v>
      </c>
      <c r="F438" s="119" t="n">
        <v>0</v>
      </c>
      <c r="G438" s="119" t="n">
        <v>0</v>
      </c>
      <c r="H438" s="115" t="n">
        <f aca="false">IFERROR(SUM($F438:$G438),"")</f>
        <v>0</v>
      </c>
      <c r="J438" s="116"/>
      <c r="K438" s="116"/>
      <c r="L438" s="116"/>
      <c r="M438" s="116"/>
      <c r="N438" s="116"/>
      <c r="O438" s="116"/>
      <c r="P438" s="116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</row>
    <row r="439" customFormat="false" ht="16.5" hidden="true" customHeight="true" outlineLevel="0" collapsed="false">
      <c r="A439" s="102"/>
      <c r="B439" s="117" t="s">
        <v>796</v>
      </c>
      <c r="C439" s="111"/>
      <c r="D439" s="118" t="s">
        <v>348</v>
      </c>
      <c r="E439" s="113" t="s">
        <v>75</v>
      </c>
      <c r="F439" s="119" t="n">
        <v>0</v>
      </c>
      <c r="G439" s="119" t="n">
        <v>0</v>
      </c>
      <c r="H439" s="115" t="n">
        <f aca="false">IFERROR(SUM($F439:$G439),"")</f>
        <v>0</v>
      </c>
      <c r="J439" s="116"/>
      <c r="K439" s="116"/>
      <c r="L439" s="116"/>
      <c r="M439" s="116"/>
      <c r="N439" s="116"/>
      <c r="O439" s="116"/>
      <c r="P439" s="116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</row>
    <row r="440" customFormat="false" ht="16.5" hidden="true" customHeight="true" outlineLevel="0" collapsed="false">
      <c r="A440" s="102"/>
      <c r="B440" s="117" t="s">
        <v>797</v>
      </c>
      <c r="C440" s="111"/>
      <c r="D440" s="118" t="s">
        <v>350</v>
      </c>
      <c r="E440" s="113" t="s">
        <v>75</v>
      </c>
      <c r="F440" s="119" t="n">
        <v>0</v>
      </c>
      <c r="G440" s="119" t="n">
        <v>0</v>
      </c>
      <c r="H440" s="115" t="n">
        <f aca="false">IFERROR(SUM($F440:$G440),"")</f>
        <v>0</v>
      </c>
      <c r="J440" s="116"/>
      <c r="K440" s="116"/>
      <c r="L440" s="116"/>
      <c r="M440" s="116"/>
      <c r="N440" s="116"/>
      <c r="O440" s="116"/>
      <c r="P440" s="116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</row>
    <row r="441" customFormat="false" ht="16.5" hidden="true" customHeight="true" outlineLevel="0" collapsed="false">
      <c r="A441" s="102"/>
      <c r="B441" s="117" t="s">
        <v>798</v>
      </c>
      <c r="C441" s="111"/>
      <c r="D441" s="118" t="s">
        <v>352</v>
      </c>
      <c r="E441" s="113" t="s">
        <v>75</v>
      </c>
      <c r="F441" s="119" t="n">
        <v>0</v>
      </c>
      <c r="G441" s="119" t="n">
        <v>0</v>
      </c>
      <c r="H441" s="115" t="n">
        <f aca="false">IFERROR(SUM($F441:$G441),"")</f>
        <v>0</v>
      </c>
      <c r="J441" s="116"/>
      <c r="K441" s="116"/>
      <c r="L441" s="116"/>
      <c r="M441" s="116"/>
      <c r="N441" s="116"/>
      <c r="O441" s="116"/>
      <c r="P441" s="116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</row>
    <row r="442" customFormat="false" ht="16.5" hidden="true" customHeight="true" outlineLevel="0" collapsed="false">
      <c r="A442" s="102"/>
      <c r="B442" s="117" t="s">
        <v>799</v>
      </c>
      <c r="C442" s="111"/>
      <c r="D442" s="118" t="s">
        <v>354</v>
      </c>
      <c r="E442" s="113" t="s">
        <v>75</v>
      </c>
      <c r="F442" s="119" t="n">
        <v>0</v>
      </c>
      <c r="G442" s="119" t="n">
        <v>0</v>
      </c>
      <c r="H442" s="115" t="n">
        <f aca="false">IFERROR(SUM($F442:$G442),"")</f>
        <v>0</v>
      </c>
      <c r="J442" s="116"/>
      <c r="K442" s="116"/>
      <c r="L442" s="116"/>
      <c r="M442" s="116"/>
      <c r="N442" s="116"/>
      <c r="O442" s="116"/>
      <c r="P442" s="116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</row>
    <row r="443" customFormat="false" ht="16.5" hidden="true" customHeight="true" outlineLevel="0" collapsed="false">
      <c r="A443" s="102"/>
      <c r="B443" s="117" t="s">
        <v>800</v>
      </c>
      <c r="C443" s="111"/>
      <c r="D443" s="118" t="s">
        <v>356</v>
      </c>
      <c r="E443" s="113" t="s">
        <v>75</v>
      </c>
      <c r="F443" s="119" t="n">
        <v>0</v>
      </c>
      <c r="G443" s="119" t="n">
        <v>0</v>
      </c>
      <c r="H443" s="115" t="n">
        <f aca="false">IFERROR(SUM($F443:$G443),"")</f>
        <v>0</v>
      </c>
      <c r="J443" s="116"/>
      <c r="K443" s="116"/>
      <c r="L443" s="116"/>
      <c r="M443" s="116"/>
      <c r="N443" s="116"/>
      <c r="O443" s="116"/>
      <c r="P443" s="116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</row>
    <row r="444" customFormat="false" ht="16.5" hidden="true" customHeight="true" outlineLevel="0" collapsed="false">
      <c r="A444" s="102"/>
      <c r="B444" s="117" t="s">
        <v>801</v>
      </c>
      <c r="C444" s="111"/>
      <c r="D444" s="118" t="s">
        <v>358</v>
      </c>
      <c r="E444" s="113" t="s">
        <v>75</v>
      </c>
      <c r="F444" s="119" t="n">
        <v>0</v>
      </c>
      <c r="G444" s="119" t="n">
        <v>0</v>
      </c>
      <c r="H444" s="115" t="n">
        <f aca="false">IFERROR(SUM($F444:$G444),"")</f>
        <v>0</v>
      </c>
      <c r="J444" s="116"/>
      <c r="K444" s="116"/>
      <c r="L444" s="116"/>
      <c r="M444" s="116"/>
      <c r="N444" s="116"/>
      <c r="O444" s="116"/>
      <c r="P444" s="116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</row>
    <row r="445" customFormat="false" ht="16.5" hidden="true" customHeight="true" outlineLevel="0" collapsed="false">
      <c r="A445" s="102"/>
      <c r="B445" s="162" t="s">
        <v>802</v>
      </c>
      <c r="C445" s="111"/>
      <c r="D445" s="163" t="s">
        <v>360</v>
      </c>
      <c r="E445" s="113" t="s">
        <v>75</v>
      </c>
      <c r="F445" s="119" t="n">
        <v>0</v>
      </c>
      <c r="G445" s="119" t="n">
        <v>0</v>
      </c>
      <c r="H445" s="115" t="n">
        <f aca="false">IFERROR(SUM($F445:$G445),"")</f>
        <v>0</v>
      </c>
      <c r="J445" s="116"/>
      <c r="K445" s="116"/>
      <c r="L445" s="116"/>
      <c r="M445" s="116"/>
      <c r="N445" s="116"/>
      <c r="O445" s="116"/>
      <c r="P445" s="116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</row>
    <row r="446" customFormat="false" ht="16.5" hidden="true" customHeight="true" outlineLevel="0" collapsed="false">
      <c r="A446" s="102"/>
      <c r="B446" s="117" t="s">
        <v>803</v>
      </c>
      <c r="C446" s="111"/>
      <c r="D446" s="118" t="s">
        <v>362</v>
      </c>
      <c r="E446" s="113" t="s">
        <v>75</v>
      </c>
      <c r="F446" s="119" t="n">
        <v>0</v>
      </c>
      <c r="G446" s="119" t="n">
        <v>0</v>
      </c>
      <c r="H446" s="115" t="n">
        <f aca="false">IFERROR(SUM($F446:$G446),"")</f>
        <v>0</v>
      </c>
      <c r="J446" s="116"/>
      <c r="K446" s="116"/>
      <c r="L446" s="116"/>
      <c r="M446" s="116"/>
      <c r="N446" s="116"/>
      <c r="O446" s="116"/>
      <c r="P446" s="116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</row>
    <row r="447" customFormat="false" ht="16.5" hidden="true" customHeight="true" outlineLevel="0" collapsed="false">
      <c r="A447" s="102"/>
      <c r="B447" s="117" t="s">
        <v>804</v>
      </c>
      <c r="C447" s="111"/>
      <c r="D447" s="118" t="s">
        <v>364</v>
      </c>
      <c r="E447" s="113" t="s">
        <v>75</v>
      </c>
      <c r="F447" s="119" t="n">
        <v>0</v>
      </c>
      <c r="G447" s="119" t="n">
        <v>0</v>
      </c>
      <c r="H447" s="115" t="n">
        <f aca="false">IFERROR(SUM($F447:$G447),"")</f>
        <v>0</v>
      </c>
      <c r="J447" s="116"/>
      <c r="K447" s="116"/>
      <c r="L447" s="116"/>
      <c r="M447" s="116"/>
      <c r="N447" s="116"/>
      <c r="O447" s="116"/>
      <c r="P447" s="116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</row>
    <row r="448" customFormat="false" ht="16.5" hidden="true" customHeight="true" outlineLevel="0" collapsed="false">
      <c r="A448" s="102"/>
      <c r="B448" s="117" t="s">
        <v>805</v>
      </c>
      <c r="C448" s="111"/>
      <c r="D448" s="118" t="s">
        <v>366</v>
      </c>
      <c r="E448" s="113" t="s">
        <v>75</v>
      </c>
      <c r="F448" s="119" t="n">
        <v>0</v>
      </c>
      <c r="G448" s="119" t="n">
        <v>0</v>
      </c>
      <c r="H448" s="115" t="n">
        <f aca="false">IFERROR(SUM($F448:$G448),"")</f>
        <v>0</v>
      </c>
      <c r="J448" s="116"/>
      <c r="K448" s="116"/>
      <c r="L448" s="116"/>
      <c r="M448" s="116"/>
      <c r="N448" s="116"/>
      <c r="O448" s="116"/>
      <c r="P448" s="116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</row>
    <row r="449" customFormat="false" ht="16.5" hidden="true" customHeight="true" outlineLevel="0" collapsed="false">
      <c r="A449" s="102"/>
      <c r="B449" s="117" t="s">
        <v>806</v>
      </c>
      <c r="C449" s="111"/>
      <c r="D449" s="118" t="s">
        <v>368</v>
      </c>
      <c r="E449" s="113" t="s">
        <v>75</v>
      </c>
      <c r="F449" s="119" t="n">
        <v>0</v>
      </c>
      <c r="G449" s="119" t="n">
        <v>0</v>
      </c>
      <c r="H449" s="115" t="n">
        <f aca="false">IFERROR(SUM($F449:$G449),"")</f>
        <v>0</v>
      </c>
      <c r="J449" s="116"/>
      <c r="K449" s="116"/>
      <c r="L449" s="116"/>
      <c r="M449" s="116"/>
      <c r="N449" s="116"/>
      <c r="O449" s="116"/>
      <c r="P449" s="116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</row>
    <row r="450" customFormat="false" ht="16.5" hidden="true" customHeight="true" outlineLevel="0" collapsed="false">
      <c r="A450" s="102"/>
      <c r="B450" s="117" t="s">
        <v>807</v>
      </c>
      <c r="C450" s="111"/>
      <c r="D450" s="118" t="s">
        <v>370</v>
      </c>
      <c r="E450" s="113" t="s">
        <v>75</v>
      </c>
      <c r="F450" s="119" t="n">
        <v>0</v>
      </c>
      <c r="G450" s="119" t="n">
        <v>0</v>
      </c>
      <c r="H450" s="115" t="n">
        <f aca="false">IFERROR(SUM($F450:$G450),"")</f>
        <v>0</v>
      </c>
      <c r="J450" s="116"/>
      <c r="K450" s="116"/>
      <c r="L450" s="116"/>
      <c r="M450" s="116"/>
      <c r="N450" s="116"/>
      <c r="O450" s="116"/>
      <c r="P450" s="116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</row>
    <row r="451" customFormat="false" ht="16.5" hidden="true" customHeight="true" outlineLevel="0" collapsed="false">
      <c r="A451" s="102"/>
      <c r="B451" s="117" t="s">
        <v>808</v>
      </c>
      <c r="C451" s="111"/>
      <c r="D451" s="118" t="s">
        <v>372</v>
      </c>
      <c r="E451" s="113" t="s">
        <v>75</v>
      </c>
      <c r="F451" s="119" t="n">
        <v>0</v>
      </c>
      <c r="G451" s="119" t="n">
        <v>0</v>
      </c>
      <c r="H451" s="115" t="n">
        <f aca="false">IFERROR(SUM($F451:$G451),"")</f>
        <v>0</v>
      </c>
      <c r="J451" s="116"/>
      <c r="K451" s="116"/>
      <c r="L451" s="116"/>
      <c r="M451" s="116"/>
      <c r="N451" s="116"/>
      <c r="O451" s="116"/>
      <c r="P451" s="116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</row>
    <row r="452" customFormat="false" ht="16.5" hidden="true" customHeight="true" outlineLevel="0" collapsed="false">
      <c r="A452" s="102"/>
      <c r="B452" s="117" t="s">
        <v>809</v>
      </c>
      <c r="C452" s="111"/>
      <c r="D452" s="118" t="s">
        <v>374</v>
      </c>
      <c r="E452" s="113" t="s">
        <v>75</v>
      </c>
      <c r="F452" s="119" t="n">
        <v>0</v>
      </c>
      <c r="G452" s="119" t="n">
        <v>0</v>
      </c>
      <c r="H452" s="115" t="n">
        <f aca="false">IFERROR(SUM($F452:$G452),"")</f>
        <v>0</v>
      </c>
      <c r="J452" s="116"/>
      <c r="K452" s="116"/>
      <c r="L452" s="116"/>
      <c r="M452" s="116"/>
      <c r="N452" s="116"/>
      <c r="O452" s="116"/>
      <c r="P452" s="116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</row>
    <row r="453" customFormat="false" ht="16.5" hidden="true" customHeight="true" outlineLevel="0" collapsed="false">
      <c r="A453" s="102"/>
      <c r="B453" s="117" t="s">
        <v>810</v>
      </c>
      <c r="C453" s="111"/>
      <c r="D453" s="118" t="s">
        <v>376</v>
      </c>
      <c r="E453" s="113" t="s">
        <v>75</v>
      </c>
      <c r="F453" s="119" t="n">
        <v>0</v>
      </c>
      <c r="G453" s="119" t="n">
        <v>0</v>
      </c>
      <c r="H453" s="115" t="n">
        <f aca="false">IFERROR(SUM($F453:$G453),"")</f>
        <v>0</v>
      </c>
      <c r="J453" s="116"/>
      <c r="K453" s="116"/>
      <c r="L453" s="116"/>
      <c r="M453" s="116"/>
      <c r="N453" s="116"/>
      <c r="O453" s="116"/>
      <c r="P453" s="116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</row>
    <row r="454" customFormat="false" ht="16.5" hidden="true" customHeight="true" outlineLevel="0" collapsed="false">
      <c r="A454" s="102"/>
      <c r="B454" s="117" t="s">
        <v>811</v>
      </c>
      <c r="C454" s="111"/>
      <c r="D454" s="118" t="s">
        <v>378</v>
      </c>
      <c r="E454" s="113" t="s">
        <v>75</v>
      </c>
      <c r="F454" s="119" t="n">
        <v>0</v>
      </c>
      <c r="G454" s="119" t="n">
        <v>0</v>
      </c>
      <c r="H454" s="115" t="n">
        <f aca="false">IFERROR(SUM($F454:$G454),"")</f>
        <v>0</v>
      </c>
      <c r="J454" s="116"/>
      <c r="K454" s="116"/>
      <c r="L454" s="116"/>
      <c r="M454" s="116"/>
      <c r="N454" s="116"/>
      <c r="O454" s="116"/>
      <c r="P454" s="116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</row>
    <row r="455" customFormat="false" ht="16.5" hidden="true" customHeight="true" outlineLevel="0" collapsed="false">
      <c r="A455" s="102"/>
      <c r="B455" s="117" t="s">
        <v>812</v>
      </c>
      <c r="C455" s="111"/>
      <c r="D455" s="118" t="s">
        <v>380</v>
      </c>
      <c r="E455" s="113" t="s">
        <v>75</v>
      </c>
      <c r="F455" s="119" t="n">
        <v>0</v>
      </c>
      <c r="G455" s="119" t="n">
        <v>0</v>
      </c>
      <c r="H455" s="115" t="n">
        <f aca="false">IFERROR(SUM($F455:$G455),"")</f>
        <v>0</v>
      </c>
      <c r="J455" s="116"/>
      <c r="K455" s="116"/>
      <c r="L455" s="116"/>
      <c r="M455" s="116"/>
      <c r="N455" s="116"/>
      <c r="O455" s="116"/>
      <c r="P455" s="116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</row>
    <row r="456" customFormat="false" ht="16.5" hidden="true" customHeight="true" outlineLevel="0" collapsed="false">
      <c r="A456" s="102"/>
      <c r="B456" s="117" t="s">
        <v>813</v>
      </c>
      <c r="C456" s="111"/>
      <c r="D456" s="118" t="s">
        <v>382</v>
      </c>
      <c r="E456" s="113" t="s">
        <v>75</v>
      </c>
      <c r="F456" s="119" t="n">
        <v>0</v>
      </c>
      <c r="G456" s="119" t="n">
        <v>0</v>
      </c>
      <c r="H456" s="115" t="n">
        <f aca="false">IFERROR(SUM($F456:$G456),"")</f>
        <v>0</v>
      </c>
      <c r="J456" s="116"/>
      <c r="K456" s="116"/>
      <c r="L456" s="116"/>
      <c r="M456" s="116"/>
      <c r="N456" s="116"/>
      <c r="O456" s="116"/>
      <c r="P456" s="116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</row>
    <row r="457" customFormat="false" ht="16.5" hidden="true" customHeight="true" outlineLevel="0" collapsed="false">
      <c r="A457" s="102"/>
      <c r="B457" s="117" t="s">
        <v>814</v>
      </c>
      <c r="C457" s="111"/>
      <c r="D457" s="118" t="s">
        <v>384</v>
      </c>
      <c r="E457" s="113" t="s">
        <v>75</v>
      </c>
      <c r="F457" s="119" t="n">
        <v>0</v>
      </c>
      <c r="G457" s="119" t="n">
        <v>0</v>
      </c>
      <c r="H457" s="115" t="n">
        <f aca="false">IFERROR(SUM($F457:$G457),"")</f>
        <v>0</v>
      </c>
      <c r="J457" s="116"/>
      <c r="K457" s="116"/>
      <c r="L457" s="116"/>
      <c r="M457" s="116"/>
      <c r="N457" s="116"/>
      <c r="O457" s="116"/>
      <c r="P457" s="116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</row>
    <row r="458" customFormat="false" ht="16.5" hidden="true" customHeight="true" outlineLevel="0" collapsed="false">
      <c r="A458" s="102"/>
      <c r="B458" s="117" t="s">
        <v>815</v>
      </c>
      <c r="C458" s="111"/>
      <c r="D458" s="118" t="s">
        <v>386</v>
      </c>
      <c r="E458" s="113" t="s">
        <v>75</v>
      </c>
      <c r="F458" s="119" t="n">
        <v>0</v>
      </c>
      <c r="G458" s="119" t="n">
        <v>0</v>
      </c>
      <c r="H458" s="115" t="n">
        <f aca="false">IFERROR(SUM($F458:$G458),"")</f>
        <v>0</v>
      </c>
      <c r="J458" s="116"/>
      <c r="K458" s="116"/>
      <c r="L458" s="116"/>
      <c r="M458" s="116"/>
      <c r="N458" s="116"/>
      <c r="O458" s="116"/>
      <c r="P458" s="116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</row>
    <row r="459" customFormat="false" ht="16.5" hidden="true" customHeight="true" outlineLevel="0" collapsed="false">
      <c r="A459" s="102"/>
      <c r="B459" s="117" t="s">
        <v>816</v>
      </c>
      <c r="C459" s="111"/>
      <c r="D459" s="118" t="s">
        <v>388</v>
      </c>
      <c r="E459" s="113" t="s">
        <v>75</v>
      </c>
      <c r="F459" s="119" t="n">
        <v>0</v>
      </c>
      <c r="G459" s="119" t="n">
        <v>0</v>
      </c>
      <c r="H459" s="115" t="n">
        <f aca="false">IFERROR(SUM($F459:$G459),"")</f>
        <v>0</v>
      </c>
      <c r="J459" s="116"/>
      <c r="K459" s="116"/>
      <c r="L459" s="116"/>
      <c r="M459" s="116"/>
      <c r="N459" s="116"/>
      <c r="O459" s="116"/>
      <c r="P459" s="116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</row>
    <row r="460" customFormat="false" ht="16.5" hidden="true" customHeight="true" outlineLevel="0" collapsed="false">
      <c r="A460" s="102"/>
      <c r="B460" s="117" t="s">
        <v>817</v>
      </c>
      <c r="C460" s="111"/>
      <c r="D460" s="118" t="s">
        <v>390</v>
      </c>
      <c r="E460" s="113" t="s">
        <v>75</v>
      </c>
      <c r="F460" s="119" t="n">
        <v>0</v>
      </c>
      <c r="G460" s="119" t="n">
        <v>0</v>
      </c>
      <c r="H460" s="115" t="n">
        <f aca="false">IFERROR(SUM($F460:$G460),"")</f>
        <v>0</v>
      </c>
      <c r="J460" s="116"/>
      <c r="K460" s="116"/>
      <c r="L460" s="116"/>
      <c r="M460" s="116"/>
      <c r="N460" s="116"/>
      <c r="O460" s="116"/>
      <c r="P460" s="116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</row>
    <row r="461" customFormat="false" ht="16.5" hidden="true" customHeight="true" outlineLevel="0" collapsed="false">
      <c r="A461" s="102"/>
      <c r="B461" s="117" t="s">
        <v>818</v>
      </c>
      <c r="C461" s="111"/>
      <c r="D461" s="118" t="s">
        <v>392</v>
      </c>
      <c r="E461" s="113" t="s">
        <v>75</v>
      </c>
      <c r="F461" s="119" t="n">
        <v>0</v>
      </c>
      <c r="G461" s="119" t="n">
        <v>0</v>
      </c>
      <c r="H461" s="115" t="n">
        <f aca="false">IFERROR(SUM($F461:$G461),"")</f>
        <v>0</v>
      </c>
      <c r="J461" s="116"/>
      <c r="K461" s="116"/>
      <c r="L461" s="116"/>
      <c r="M461" s="116"/>
      <c r="N461" s="116"/>
      <c r="O461" s="116"/>
      <c r="P461" s="116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</row>
    <row r="462" customFormat="false" ht="16.5" hidden="true" customHeight="true" outlineLevel="0" collapsed="false">
      <c r="A462" s="102"/>
      <c r="B462" s="117" t="s">
        <v>819</v>
      </c>
      <c r="C462" s="111"/>
      <c r="D462" s="118" t="s">
        <v>394</v>
      </c>
      <c r="E462" s="113" t="s">
        <v>75</v>
      </c>
      <c r="F462" s="119" t="n">
        <v>0</v>
      </c>
      <c r="G462" s="119" t="n">
        <v>0</v>
      </c>
      <c r="H462" s="115" t="n">
        <f aca="false">IFERROR(SUM($F462:$G462),"")</f>
        <v>0</v>
      </c>
      <c r="J462" s="116"/>
      <c r="K462" s="116"/>
      <c r="L462" s="116"/>
      <c r="M462" s="116"/>
      <c r="N462" s="116"/>
      <c r="O462" s="116"/>
      <c r="P462" s="116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</row>
    <row r="463" customFormat="false" ht="16.5" hidden="true" customHeight="true" outlineLevel="0" collapsed="false">
      <c r="A463" s="102"/>
      <c r="B463" s="117" t="s">
        <v>820</v>
      </c>
      <c r="C463" s="111"/>
      <c r="D463" s="118" t="s">
        <v>396</v>
      </c>
      <c r="E463" s="113" t="s">
        <v>75</v>
      </c>
      <c r="F463" s="119" t="n">
        <v>0</v>
      </c>
      <c r="G463" s="119" t="n">
        <v>0</v>
      </c>
      <c r="H463" s="115" t="n">
        <f aca="false">IFERROR(SUM($F463:$G463),"")</f>
        <v>0</v>
      </c>
      <c r="J463" s="116"/>
      <c r="K463" s="116"/>
      <c r="L463" s="116"/>
      <c r="M463" s="116"/>
      <c r="N463" s="116"/>
      <c r="O463" s="116"/>
      <c r="P463" s="116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</row>
    <row r="464" customFormat="false" ht="16.5" hidden="true" customHeight="true" outlineLevel="0" collapsed="false">
      <c r="A464" s="102"/>
      <c r="B464" s="117" t="s">
        <v>821</v>
      </c>
      <c r="C464" s="111"/>
      <c r="D464" s="118" t="s">
        <v>398</v>
      </c>
      <c r="E464" s="113" t="s">
        <v>75</v>
      </c>
      <c r="F464" s="119" t="n">
        <v>0</v>
      </c>
      <c r="G464" s="119" t="n">
        <v>0</v>
      </c>
      <c r="H464" s="115" t="n">
        <f aca="false">IFERROR(SUM($F464:$G464),"")</f>
        <v>0</v>
      </c>
      <c r="J464" s="116"/>
      <c r="K464" s="116"/>
      <c r="L464" s="116"/>
      <c r="M464" s="116"/>
      <c r="N464" s="116"/>
      <c r="O464" s="116"/>
      <c r="P464" s="116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</row>
    <row r="465" customFormat="false" ht="16.5" hidden="true" customHeight="true" outlineLevel="0" collapsed="false">
      <c r="A465" s="102"/>
      <c r="B465" s="117" t="s">
        <v>822</v>
      </c>
      <c r="C465" s="111"/>
      <c r="D465" s="118" t="s">
        <v>400</v>
      </c>
      <c r="E465" s="113" t="s">
        <v>75</v>
      </c>
      <c r="F465" s="119" t="n">
        <v>0</v>
      </c>
      <c r="G465" s="119" t="n">
        <v>0</v>
      </c>
      <c r="H465" s="115" t="n">
        <f aca="false">IFERROR(SUM($F465:$G465),"")</f>
        <v>0</v>
      </c>
      <c r="J465" s="116"/>
      <c r="K465" s="116"/>
      <c r="L465" s="116"/>
      <c r="M465" s="116"/>
      <c r="N465" s="116"/>
      <c r="O465" s="116"/>
      <c r="P465" s="116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</row>
    <row r="466" customFormat="false" ht="16.5" hidden="true" customHeight="true" outlineLevel="0" collapsed="false">
      <c r="A466" s="102"/>
      <c r="B466" s="117" t="s">
        <v>823</v>
      </c>
      <c r="C466" s="111"/>
      <c r="D466" s="163" t="s">
        <v>402</v>
      </c>
      <c r="E466" s="113" t="s">
        <v>75</v>
      </c>
      <c r="F466" s="119" t="n">
        <v>0</v>
      </c>
      <c r="G466" s="119" t="n">
        <v>0</v>
      </c>
      <c r="H466" s="115" t="n">
        <f aca="false">IFERROR(SUM($F466:$G466),"")</f>
        <v>0</v>
      </c>
      <c r="J466" s="116"/>
      <c r="K466" s="116"/>
      <c r="L466" s="116"/>
      <c r="M466" s="116"/>
      <c r="N466" s="116"/>
      <c r="O466" s="116"/>
      <c r="P466" s="116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</row>
    <row r="467" customFormat="false" ht="16.5" hidden="true" customHeight="true" outlineLevel="0" collapsed="false">
      <c r="A467" s="102"/>
      <c r="B467" s="117" t="s">
        <v>824</v>
      </c>
      <c r="C467" s="111"/>
      <c r="D467" s="118" t="s">
        <v>404</v>
      </c>
      <c r="E467" s="113" t="s">
        <v>75</v>
      </c>
      <c r="F467" s="119" t="n">
        <v>0</v>
      </c>
      <c r="G467" s="119" t="n">
        <v>0</v>
      </c>
      <c r="H467" s="115" t="n">
        <f aca="false">IFERROR(SUM($F467:$G467),"")</f>
        <v>0</v>
      </c>
      <c r="J467" s="116"/>
      <c r="K467" s="116"/>
      <c r="L467" s="116"/>
      <c r="M467" s="116"/>
      <c r="N467" s="116"/>
      <c r="O467" s="116"/>
      <c r="P467" s="116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</row>
    <row r="468" customFormat="false" ht="16.5" hidden="true" customHeight="true" outlineLevel="0" collapsed="false">
      <c r="A468" s="102"/>
      <c r="B468" s="117" t="s">
        <v>825</v>
      </c>
      <c r="C468" s="111"/>
      <c r="D468" s="118" t="s">
        <v>406</v>
      </c>
      <c r="E468" s="113" t="s">
        <v>75</v>
      </c>
      <c r="F468" s="119" t="n">
        <v>0</v>
      </c>
      <c r="G468" s="119" t="n">
        <v>0</v>
      </c>
      <c r="H468" s="115" t="n">
        <f aca="false">IFERROR(SUM($F468:$G468),"")</f>
        <v>0</v>
      </c>
      <c r="J468" s="116"/>
      <c r="K468" s="116"/>
      <c r="L468" s="116"/>
      <c r="M468" s="116"/>
      <c r="N468" s="116"/>
      <c r="O468" s="116"/>
      <c r="P468" s="116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</row>
    <row r="469" customFormat="false" ht="16.5" hidden="true" customHeight="true" outlineLevel="0" collapsed="false">
      <c r="A469" s="102"/>
      <c r="B469" s="117" t="s">
        <v>826</v>
      </c>
      <c r="C469" s="111"/>
      <c r="D469" s="118" t="s">
        <v>408</v>
      </c>
      <c r="E469" s="113" t="s">
        <v>75</v>
      </c>
      <c r="F469" s="119" t="n">
        <v>0</v>
      </c>
      <c r="G469" s="119" t="n">
        <v>0</v>
      </c>
      <c r="H469" s="115" t="n">
        <f aca="false">IFERROR(SUM($F469:$G469),"")</f>
        <v>0</v>
      </c>
      <c r="J469" s="116"/>
      <c r="K469" s="116"/>
      <c r="L469" s="116"/>
      <c r="M469" s="116"/>
      <c r="N469" s="116"/>
      <c r="O469" s="116"/>
      <c r="P469" s="116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</row>
    <row r="470" customFormat="false" ht="16.5" hidden="true" customHeight="true" outlineLevel="0" collapsed="false">
      <c r="A470" s="102"/>
      <c r="B470" s="117" t="s">
        <v>827</v>
      </c>
      <c r="C470" s="111"/>
      <c r="D470" s="118" t="s">
        <v>410</v>
      </c>
      <c r="E470" s="113" t="s">
        <v>75</v>
      </c>
      <c r="F470" s="119" t="n">
        <v>0</v>
      </c>
      <c r="G470" s="119" t="n">
        <v>0</v>
      </c>
      <c r="H470" s="115" t="n">
        <f aca="false">IFERROR(SUM($F470:$G470),"")</f>
        <v>0</v>
      </c>
      <c r="J470" s="116"/>
      <c r="K470" s="116"/>
      <c r="L470" s="116"/>
      <c r="M470" s="116"/>
      <c r="N470" s="116"/>
      <c r="O470" s="116"/>
      <c r="P470" s="116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</row>
    <row r="471" customFormat="false" ht="16.5" hidden="true" customHeight="true" outlineLevel="0" collapsed="false">
      <c r="A471" s="102"/>
      <c r="B471" s="117" t="s">
        <v>828</v>
      </c>
      <c r="C471" s="111"/>
      <c r="D471" s="118" t="s">
        <v>412</v>
      </c>
      <c r="E471" s="113" t="s">
        <v>75</v>
      </c>
      <c r="F471" s="119" t="n">
        <v>0</v>
      </c>
      <c r="G471" s="119" t="n">
        <v>0</v>
      </c>
      <c r="H471" s="115" t="n">
        <f aca="false">IFERROR(SUM($F471:$G471),"")</f>
        <v>0</v>
      </c>
      <c r="J471" s="116"/>
      <c r="K471" s="116"/>
      <c r="L471" s="116"/>
      <c r="M471" s="116"/>
      <c r="N471" s="116"/>
      <c r="O471" s="116"/>
      <c r="P471" s="116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</row>
    <row r="472" customFormat="false" ht="16.5" hidden="true" customHeight="true" outlineLevel="0" collapsed="false">
      <c r="A472" s="102"/>
      <c r="B472" s="117" t="s">
        <v>829</v>
      </c>
      <c r="C472" s="111"/>
      <c r="D472" s="118" t="s">
        <v>414</v>
      </c>
      <c r="E472" s="113" t="s">
        <v>75</v>
      </c>
      <c r="F472" s="119" t="n">
        <v>0</v>
      </c>
      <c r="G472" s="119" t="n">
        <v>0</v>
      </c>
      <c r="H472" s="115" t="n">
        <f aca="false">IFERROR(SUM($F472:$G472),"")</f>
        <v>0</v>
      </c>
      <c r="J472" s="116"/>
      <c r="K472" s="116"/>
      <c r="L472" s="116"/>
      <c r="M472" s="116"/>
      <c r="N472" s="116"/>
      <c r="O472" s="116"/>
      <c r="P472" s="116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</row>
    <row r="473" customFormat="false" ht="16.5" hidden="true" customHeight="true" outlineLevel="0" collapsed="false">
      <c r="A473" s="102"/>
      <c r="B473" s="117" t="s">
        <v>830</v>
      </c>
      <c r="C473" s="111"/>
      <c r="D473" s="163" t="s">
        <v>416</v>
      </c>
      <c r="E473" s="113" t="s">
        <v>75</v>
      </c>
      <c r="F473" s="119" t="n">
        <v>0</v>
      </c>
      <c r="G473" s="119" t="n">
        <v>0</v>
      </c>
      <c r="H473" s="115" t="n">
        <f aca="false">IFERROR(SUM($F473:$G473),"")</f>
        <v>0</v>
      </c>
      <c r="J473" s="116"/>
      <c r="K473" s="116"/>
      <c r="L473" s="116"/>
      <c r="M473" s="116"/>
      <c r="N473" s="116"/>
      <c r="O473" s="116"/>
      <c r="P473" s="116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</row>
    <row r="474" customFormat="false" ht="16.5" hidden="true" customHeight="true" outlineLevel="0" collapsed="false">
      <c r="A474" s="102"/>
      <c r="B474" s="117" t="s">
        <v>831</v>
      </c>
      <c r="C474" s="111"/>
      <c r="D474" s="163" t="s">
        <v>418</v>
      </c>
      <c r="E474" s="113" t="s">
        <v>75</v>
      </c>
      <c r="F474" s="119" t="n">
        <v>0</v>
      </c>
      <c r="G474" s="119" t="n">
        <v>0</v>
      </c>
      <c r="H474" s="115" t="n">
        <f aca="false">IFERROR(SUM($F474:$G474),"")</f>
        <v>0</v>
      </c>
      <c r="J474" s="116"/>
      <c r="K474" s="116"/>
      <c r="L474" s="116"/>
      <c r="M474" s="116"/>
      <c r="N474" s="116"/>
      <c r="O474" s="116"/>
      <c r="P474" s="116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</row>
    <row r="475" customFormat="false" ht="16.5" hidden="true" customHeight="true" outlineLevel="0" collapsed="false">
      <c r="A475" s="102"/>
      <c r="B475" s="117" t="s">
        <v>832</v>
      </c>
      <c r="C475" s="111"/>
      <c r="D475" s="118" t="s">
        <v>420</v>
      </c>
      <c r="E475" s="113" t="s">
        <v>75</v>
      </c>
      <c r="F475" s="119" t="n">
        <v>0</v>
      </c>
      <c r="G475" s="119" t="n">
        <v>0</v>
      </c>
      <c r="H475" s="115" t="n">
        <f aca="false">IFERROR(SUM($F475:$G475),"")</f>
        <v>0</v>
      </c>
      <c r="J475" s="116"/>
      <c r="K475" s="116"/>
      <c r="L475" s="116"/>
      <c r="M475" s="116"/>
      <c r="N475" s="116"/>
      <c r="O475" s="116"/>
      <c r="P475" s="116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</row>
    <row r="476" customFormat="false" ht="16.5" hidden="true" customHeight="true" outlineLevel="0" collapsed="false">
      <c r="A476" s="102"/>
      <c r="B476" s="117" t="s">
        <v>833</v>
      </c>
      <c r="C476" s="111"/>
      <c r="D476" s="118" t="s">
        <v>422</v>
      </c>
      <c r="E476" s="113" t="s">
        <v>75</v>
      </c>
      <c r="F476" s="119" t="n">
        <v>0</v>
      </c>
      <c r="G476" s="119" t="n">
        <v>0</v>
      </c>
      <c r="H476" s="115" t="n">
        <f aca="false">IFERROR(SUM($F476:$G476),"")</f>
        <v>0</v>
      </c>
      <c r="J476" s="116"/>
      <c r="K476" s="116"/>
      <c r="L476" s="116"/>
      <c r="M476" s="116"/>
      <c r="N476" s="116"/>
      <c r="O476" s="116"/>
      <c r="P476" s="116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</row>
    <row r="477" customFormat="false" ht="16.5" hidden="true" customHeight="true" outlineLevel="0" collapsed="false">
      <c r="A477" s="102"/>
      <c r="B477" s="117" t="s">
        <v>834</v>
      </c>
      <c r="C477" s="111"/>
      <c r="D477" s="163" t="s">
        <v>424</v>
      </c>
      <c r="E477" s="113" t="s">
        <v>75</v>
      </c>
      <c r="F477" s="119" t="n">
        <v>0</v>
      </c>
      <c r="G477" s="119" t="n">
        <v>0</v>
      </c>
      <c r="H477" s="115" t="n">
        <f aca="false">IFERROR(SUM($F477:$G477),"")</f>
        <v>0</v>
      </c>
      <c r="J477" s="116"/>
      <c r="K477" s="116"/>
      <c r="L477" s="116"/>
      <c r="M477" s="116"/>
      <c r="N477" s="116"/>
      <c r="O477" s="116"/>
      <c r="P477" s="116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</row>
    <row r="478" customFormat="false" ht="16.5" hidden="true" customHeight="true" outlineLevel="0" collapsed="false">
      <c r="A478" s="102"/>
      <c r="B478" s="117" t="s">
        <v>835</v>
      </c>
      <c r="C478" s="111"/>
      <c r="D478" s="163" t="s">
        <v>426</v>
      </c>
      <c r="E478" s="113" t="s">
        <v>75</v>
      </c>
      <c r="F478" s="119" t="n">
        <v>0</v>
      </c>
      <c r="G478" s="119" t="n">
        <v>0</v>
      </c>
      <c r="H478" s="115" t="n">
        <f aca="false">IFERROR(SUM($F478:$G478),"")</f>
        <v>0</v>
      </c>
      <c r="J478" s="116"/>
      <c r="K478" s="116"/>
      <c r="L478" s="116"/>
      <c r="M478" s="116"/>
      <c r="N478" s="116"/>
      <c r="O478" s="116"/>
      <c r="P478" s="116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</row>
    <row r="479" customFormat="false" ht="16.5" hidden="true" customHeight="true" outlineLevel="0" collapsed="false">
      <c r="A479" s="102"/>
      <c r="B479" s="117" t="s">
        <v>836</v>
      </c>
      <c r="C479" s="111"/>
      <c r="D479" s="118" t="s">
        <v>428</v>
      </c>
      <c r="E479" s="113" t="s">
        <v>75</v>
      </c>
      <c r="F479" s="119" t="n">
        <v>0</v>
      </c>
      <c r="G479" s="119" t="n">
        <v>0</v>
      </c>
      <c r="H479" s="115" t="n">
        <f aca="false">IFERROR(SUM($F479:$G479),"")</f>
        <v>0</v>
      </c>
      <c r="J479" s="116"/>
      <c r="K479" s="116"/>
      <c r="L479" s="116"/>
      <c r="M479" s="116"/>
      <c r="N479" s="116"/>
      <c r="O479" s="116"/>
      <c r="P479" s="116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</row>
    <row r="480" customFormat="false" ht="16.5" hidden="true" customHeight="true" outlineLevel="0" collapsed="false">
      <c r="A480" s="102"/>
      <c r="B480" s="117" t="s">
        <v>837</v>
      </c>
      <c r="C480" s="111"/>
      <c r="D480" s="118" t="s">
        <v>430</v>
      </c>
      <c r="E480" s="113" t="s">
        <v>75</v>
      </c>
      <c r="F480" s="119" t="n">
        <v>0</v>
      </c>
      <c r="G480" s="119" t="n">
        <v>0</v>
      </c>
      <c r="H480" s="115" t="n">
        <f aca="false">IFERROR(SUM($F480:$G480),"")</f>
        <v>0</v>
      </c>
      <c r="J480" s="116"/>
      <c r="K480" s="116"/>
      <c r="L480" s="116"/>
      <c r="M480" s="116"/>
      <c r="N480" s="116"/>
      <c r="O480" s="116"/>
      <c r="P480" s="116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</row>
    <row r="481" customFormat="false" ht="16.5" hidden="true" customHeight="true" outlineLevel="0" collapsed="false">
      <c r="A481" s="102"/>
      <c r="B481" s="117" t="s">
        <v>838</v>
      </c>
      <c r="C481" s="111"/>
      <c r="D481" s="118" t="s">
        <v>432</v>
      </c>
      <c r="E481" s="113" t="s">
        <v>75</v>
      </c>
      <c r="F481" s="119" t="n">
        <v>0</v>
      </c>
      <c r="G481" s="119" t="n">
        <v>0</v>
      </c>
      <c r="H481" s="115" t="n">
        <f aca="false">IFERROR(SUM($F481:$G481),"")</f>
        <v>0</v>
      </c>
      <c r="J481" s="116"/>
      <c r="K481" s="116"/>
      <c r="L481" s="116"/>
      <c r="M481" s="116"/>
      <c r="N481" s="116"/>
      <c r="O481" s="116"/>
      <c r="P481" s="116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</row>
    <row r="482" customFormat="false" ht="16.5" hidden="true" customHeight="true" outlineLevel="0" collapsed="false">
      <c r="A482" s="102"/>
      <c r="B482" s="117" t="s">
        <v>839</v>
      </c>
      <c r="C482" s="111"/>
      <c r="D482" s="118" t="s">
        <v>434</v>
      </c>
      <c r="E482" s="113" t="s">
        <v>75</v>
      </c>
      <c r="F482" s="119" t="n">
        <v>0</v>
      </c>
      <c r="G482" s="119" t="n">
        <v>0</v>
      </c>
      <c r="H482" s="115" t="n">
        <f aca="false">IFERROR(SUM($F482:$G482),"")</f>
        <v>0</v>
      </c>
      <c r="J482" s="116"/>
      <c r="K482" s="116"/>
      <c r="L482" s="116"/>
      <c r="M482" s="116"/>
      <c r="N482" s="116"/>
      <c r="O482" s="116"/>
      <c r="P482" s="116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</row>
    <row r="483" customFormat="false" ht="16.5" hidden="true" customHeight="true" outlineLevel="0" collapsed="false">
      <c r="A483" s="102"/>
      <c r="B483" s="117" t="s">
        <v>840</v>
      </c>
      <c r="C483" s="111"/>
      <c r="D483" s="118" t="s">
        <v>436</v>
      </c>
      <c r="E483" s="113" t="s">
        <v>75</v>
      </c>
      <c r="F483" s="119" t="n">
        <v>0</v>
      </c>
      <c r="G483" s="119" t="n">
        <v>0</v>
      </c>
      <c r="H483" s="115" t="n">
        <f aca="false">IFERROR(SUM($F483:$G483),"")</f>
        <v>0</v>
      </c>
      <c r="J483" s="116"/>
      <c r="K483" s="116"/>
      <c r="L483" s="116"/>
      <c r="M483" s="116"/>
      <c r="N483" s="116"/>
      <c r="O483" s="116"/>
      <c r="P483" s="116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</row>
    <row r="484" customFormat="false" ht="16.5" hidden="true" customHeight="true" outlineLevel="0" collapsed="false">
      <c r="A484" s="102"/>
      <c r="B484" s="117" t="s">
        <v>841</v>
      </c>
      <c r="C484" s="111"/>
      <c r="D484" s="118" t="s">
        <v>438</v>
      </c>
      <c r="E484" s="113" t="s">
        <v>75</v>
      </c>
      <c r="F484" s="119" t="n">
        <v>0</v>
      </c>
      <c r="G484" s="119" t="n">
        <v>0</v>
      </c>
      <c r="H484" s="115" t="n">
        <f aca="false">IFERROR(SUM($F484:$G484),"")</f>
        <v>0</v>
      </c>
      <c r="J484" s="116"/>
      <c r="K484" s="116"/>
      <c r="L484" s="116"/>
      <c r="M484" s="116"/>
      <c r="N484" s="116"/>
      <c r="O484" s="116"/>
      <c r="P484" s="116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</row>
    <row r="485" customFormat="false" ht="16.5" hidden="false" customHeight="true" outlineLevel="0" collapsed="false">
      <c r="A485" s="102"/>
      <c r="B485" s="110" t="s">
        <v>842</v>
      </c>
      <c r="C485" s="111"/>
      <c r="D485" s="219" t="s">
        <v>843</v>
      </c>
      <c r="E485" s="113"/>
      <c r="F485" s="119" t="n">
        <v>0</v>
      </c>
      <c r="G485" s="119" t="n">
        <v>0</v>
      </c>
      <c r="H485" s="115" t="n">
        <f aca="false">IFERROR(SUM($F485:$G485),"")</f>
        <v>0</v>
      </c>
      <c r="J485" s="116"/>
      <c r="K485" s="116"/>
      <c r="L485" s="116"/>
      <c r="M485" s="116"/>
      <c r="N485" s="116"/>
      <c r="O485" s="116"/>
      <c r="P485" s="116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</row>
    <row r="486" customFormat="false" ht="16.5" hidden="true" customHeight="true" outlineLevel="0" collapsed="false">
      <c r="A486" s="102"/>
      <c r="B486" s="117" t="s">
        <v>844</v>
      </c>
      <c r="C486" s="111"/>
      <c r="D486" s="118" t="s">
        <v>328</v>
      </c>
      <c r="E486" s="113" t="s">
        <v>75</v>
      </c>
      <c r="F486" s="119" t="n">
        <v>0</v>
      </c>
      <c r="G486" s="119" t="n">
        <v>0</v>
      </c>
      <c r="H486" s="115" t="n">
        <f aca="false">IFERROR(SUM($F486:$G486),"")</f>
        <v>0</v>
      </c>
      <c r="J486" s="116"/>
      <c r="K486" s="116"/>
      <c r="L486" s="116"/>
      <c r="M486" s="116"/>
      <c r="N486" s="116"/>
      <c r="O486" s="116"/>
      <c r="P486" s="116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</row>
    <row r="487" customFormat="false" ht="16.5" hidden="true" customHeight="true" outlineLevel="0" collapsed="false">
      <c r="A487" s="102"/>
      <c r="B487" s="117" t="s">
        <v>845</v>
      </c>
      <c r="C487" s="111"/>
      <c r="D487" s="118" t="s">
        <v>330</v>
      </c>
      <c r="E487" s="113" t="s">
        <v>75</v>
      </c>
      <c r="F487" s="119" t="n">
        <v>0</v>
      </c>
      <c r="G487" s="119" t="n">
        <v>0</v>
      </c>
      <c r="H487" s="115" t="n">
        <f aca="false">IFERROR(SUM($F487:$G487),"")</f>
        <v>0</v>
      </c>
      <c r="J487" s="116"/>
      <c r="K487" s="116"/>
      <c r="L487" s="116"/>
      <c r="M487" s="116"/>
      <c r="N487" s="116"/>
      <c r="O487" s="116"/>
      <c r="P487" s="116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</row>
    <row r="488" customFormat="false" ht="16.5" hidden="true" customHeight="true" outlineLevel="0" collapsed="false">
      <c r="A488" s="102"/>
      <c r="B488" s="117" t="s">
        <v>846</v>
      </c>
      <c r="C488" s="111"/>
      <c r="D488" s="118" t="s">
        <v>332</v>
      </c>
      <c r="E488" s="113" t="s">
        <v>75</v>
      </c>
      <c r="F488" s="119" t="n">
        <v>0</v>
      </c>
      <c r="G488" s="119" t="n">
        <v>0</v>
      </c>
      <c r="H488" s="115" t="n">
        <f aca="false">IFERROR(SUM($F488:$G488),"")</f>
        <v>0</v>
      </c>
      <c r="J488" s="116"/>
      <c r="K488" s="116"/>
      <c r="L488" s="116"/>
      <c r="M488" s="116"/>
      <c r="N488" s="116"/>
      <c r="O488" s="116"/>
      <c r="P488" s="116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</row>
    <row r="489" customFormat="false" ht="16.5" hidden="false" customHeight="true" outlineLevel="0" collapsed="false">
      <c r="A489" s="102"/>
      <c r="B489" s="117" t="s">
        <v>847</v>
      </c>
      <c r="C489" s="111"/>
      <c r="D489" s="118" t="s">
        <v>334</v>
      </c>
      <c r="E489" s="113" t="s">
        <v>75</v>
      </c>
      <c r="F489" s="119" t="n">
        <v>5968</v>
      </c>
      <c r="G489" s="119" t="n">
        <v>0</v>
      </c>
      <c r="H489" s="115" t="n">
        <f aca="false">IFERROR(SUM($F489:$G489),"")</f>
        <v>5968</v>
      </c>
      <c r="J489" s="120" t="n">
        <v>0.18</v>
      </c>
      <c r="K489" s="121" t="n">
        <f aca="false">+$H489*J489</f>
        <v>1074.24</v>
      </c>
      <c r="L489" s="122" t="n">
        <v>0.9</v>
      </c>
      <c r="M489" s="122" t="n">
        <v>28</v>
      </c>
      <c r="N489" s="121" t="n">
        <f aca="false">+$H489*L489</f>
        <v>5371.2</v>
      </c>
      <c r="O489" s="121" t="n">
        <f aca="false">+$H489*M489</f>
        <v>167104</v>
      </c>
      <c r="P489" s="121" t="n">
        <f aca="false">+SUM(N489:O489)</f>
        <v>172475.2</v>
      </c>
      <c r="R489" s="109"/>
      <c r="S489" s="109" t="n">
        <f aca="false">+R489*$H489</f>
        <v>0</v>
      </c>
      <c r="T489" s="109"/>
      <c r="U489" s="109" t="n">
        <f aca="false">+T489*$H489</f>
        <v>0</v>
      </c>
      <c r="V489" s="109" t="n">
        <f aca="false">+T489*$V$11</f>
        <v>0</v>
      </c>
      <c r="W489" s="109" t="n">
        <f aca="false">+V489*$H489</f>
        <v>0</v>
      </c>
      <c r="X489" s="109"/>
      <c r="Y489" s="109" t="n">
        <f aca="false">+X489*$H489</f>
        <v>0</v>
      </c>
      <c r="Z489" s="109"/>
      <c r="AA489" s="109" t="n">
        <f aca="false">+Z489*$H489</f>
        <v>0</v>
      </c>
      <c r="AB489" s="109"/>
      <c r="AC489" s="109" t="n">
        <f aca="false">+AB489*$H489</f>
        <v>0</v>
      </c>
      <c r="AD489" s="109" t="n">
        <f aca="false">+R489+V489+X489+Z489+AB489</f>
        <v>0</v>
      </c>
      <c r="AE489" s="109" t="n">
        <f aca="false">+AD489*$H489</f>
        <v>0</v>
      </c>
    </row>
    <row r="490" customFormat="false" ht="16.5" hidden="true" customHeight="true" outlineLevel="0" collapsed="false">
      <c r="A490" s="102"/>
      <c r="B490" s="117" t="s">
        <v>848</v>
      </c>
      <c r="C490" s="111"/>
      <c r="D490" s="118" t="s">
        <v>336</v>
      </c>
      <c r="E490" s="113" t="s">
        <v>75</v>
      </c>
      <c r="F490" s="119" t="n">
        <v>0</v>
      </c>
      <c r="G490" s="119" t="n">
        <v>0</v>
      </c>
      <c r="H490" s="115" t="n">
        <f aca="false">IFERROR(SUM($F490:$G490),"")</f>
        <v>0</v>
      </c>
      <c r="J490" s="116"/>
      <c r="K490" s="116"/>
      <c r="L490" s="116"/>
      <c r="M490" s="116"/>
      <c r="N490" s="116"/>
      <c r="O490" s="116"/>
      <c r="P490" s="116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</row>
    <row r="491" customFormat="false" ht="16.5" hidden="true" customHeight="true" outlineLevel="0" collapsed="false">
      <c r="A491" s="102"/>
      <c r="B491" s="117" t="s">
        <v>849</v>
      </c>
      <c r="C491" s="111"/>
      <c r="D491" s="118" t="s">
        <v>338</v>
      </c>
      <c r="E491" s="113" t="s">
        <v>75</v>
      </c>
      <c r="F491" s="119" t="n">
        <v>0</v>
      </c>
      <c r="G491" s="119" t="n">
        <v>0</v>
      </c>
      <c r="H491" s="115" t="n">
        <f aca="false">IFERROR(SUM($F491:$G491),"")</f>
        <v>0</v>
      </c>
      <c r="J491" s="116"/>
      <c r="K491" s="116"/>
      <c r="L491" s="116"/>
      <c r="M491" s="116"/>
      <c r="N491" s="116"/>
      <c r="O491" s="116"/>
      <c r="P491" s="116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</row>
    <row r="492" customFormat="false" ht="16.5" hidden="true" customHeight="true" outlineLevel="0" collapsed="false">
      <c r="A492" s="102"/>
      <c r="B492" s="117" t="s">
        <v>850</v>
      </c>
      <c r="C492" s="111"/>
      <c r="D492" s="118" t="s">
        <v>340</v>
      </c>
      <c r="E492" s="113" t="s">
        <v>75</v>
      </c>
      <c r="F492" s="119" t="n">
        <v>0</v>
      </c>
      <c r="G492" s="119" t="n">
        <v>0</v>
      </c>
      <c r="H492" s="115" t="n">
        <f aca="false">IFERROR(SUM($F492:$G492),"")</f>
        <v>0</v>
      </c>
      <c r="J492" s="116"/>
      <c r="K492" s="116"/>
      <c r="L492" s="116"/>
      <c r="M492" s="116"/>
      <c r="N492" s="116"/>
      <c r="O492" s="116"/>
      <c r="P492" s="116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</row>
    <row r="493" customFormat="false" ht="16.5" hidden="true" customHeight="true" outlineLevel="0" collapsed="false">
      <c r="A493" s="102"/>
      <c r="B493" s="117" t="s">
        <v>851</v>
      </c>
      <c r="C493" s="111"/>
      <c r="D493" s="118" t="s">
        <v>342</v>
      </c>
      <c r="E493" s="113" t="s">
        <v>75</v>
      </c>
      <c r="F493" s="119" t="n">
        <v>0</v>
      </c>
      <c r="G493" s="119" t="n">
        <v>0</v>
      </c>
      <c r="H493" s="115" t="n">
        <f aca="false">IFERROR(SUM($F493:$G493),"")</f>
        <v>0</v>
      </c>
      <c r="J493" s="116"/>
      <c r="K493" s="116"/>
      <c r="L493" s="116"/>
      <c r="M493" s="116"/>
      <c r="N493" s="116"/>
      <c r="O493" s="116"/>
      <c r="P493" s="116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</row>
    <row r="494" customFormat="false" ht="16.5" hidden="true" customHeight="true" outlineLevel="0" collapsed="false">
      <c r="A494" s="102"/>
      <c r="B494" s="117" t="s">
        <v>852</v>
      </c>
      <c r="C494" s="111"/>
      <c r="D494" s="118" t="s">
        <v>344</v>
      </c>
      <c r="E494" s="113" t="s">
        <v>75</v>
      </c>
      <c r="F494" s="119" t="n">
        <v>0</v>
      </c>
      <c r="G494" s="119" t="n">
        <v>0</v>
      </c>
      <c r="H494" s="115" t="n">
        <f aca="false">IFERROR(SUM($F494:$G494),"")</f>
        <v>0</v>
      </c>
      <c r="J494" s="116"/>
      <c r="K494" s="116"/>
      <c r="L494" s="116"/>
      <c r="M494" s="116"/>
      <c r="N494" s="116"/>
      <c r="O494" s="116"/>
      <c r="P494" s="116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</row>
    <row r="495" customFormat="false" ht="16.5" hidden="true" customHeight="true" outlineLevel="0" collapsed="false">
      <c r="A495" s="102"/>
      <c r="B495" s="117" t="s">
        <v>853</v>
      </c>
      <c r="C495" s="111"/>
      <c r="D495" s="118" t="s">
        <v>346</v>
      </c>
      <c r="E495" s="113" t="s">
        <v>75</v>
      </c>
      <c r="F495" s="119" t="n">
        <v>0</v>
      </c>
      <c r="G495" s="119" t="n">
        <v>0</v>
      </c>
      <c r="H495" s="115" t="n">
        <f aca="false">IFERROR(SUM($F495:$G495),"")</f>
        <v>0</v>
      </c>
      <c r="J495" s="116"/>
      <c r="K495" s="116"/>
      <c r="L495" s="116"/>
      <c r="M495" s="116"/>
      <c r="N495" s="116"/>
      <c r="O495" s="116"/>
      <c r="P495" s="116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</row>
    <row r="496" customFormat="false" ht="16.5" hidden="true" customHeight="true" outlineLevel="0" collapsed="false">
      <c r="A496" s="102"/>
      <c r="B496" s="117" t="s">
        <v>854</v>
      </c>
      <c r="C496" s="111"/>
      <c r="D496" s="118" t="s">
        <v>348</v>
      </c>
      <c r="E496" s="113" t="s">
        <v>75</v>
      </c>
      <c r="F496" s="119" t="n">
        <v>0</v>
      </c>
      <c r="G496" s="119" t="n">
        <v>0</v>
      </c>
      <c r="H496" s="115" t="n">
        <f aca="false">IFERROR(SUM($F496:$G496),"")</f>
        <v>0</v>
      </c>
      <c r="J496" s="116"/>
      <c r="K496" s="116"/>
      <c r="L496" s="116"/>
      <c r="M496" s="116"/>
      <c r="N496" s="116"/>
      <c r="O496" s="116"/>
      <c r="P496" s="116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</row>
    <row r="497" customFormat="false" ht="16.5" hidden="true" customHeight="true" outlineLevel="0" collapsed="false">
      <c r="A497" s="102"/>
      <c r="B497" s="117" t="s">
        <v>855</v>
      </c>
      <c r="C497" s="111"/>
      <c r="D497" s="118" t="s">
        <v>350</v>
      </c>
      <c r="E497" s="113" t="s">
        <v>75</v>
      </c>
      <c r="F497" s="119" t="n">
        <v>0</v>
      </c>
      <c r="G497" s="119" t="n">
        <v>0</v>
      </c>
      <c r="H497" s="115" t="n">
        <f aca="false">IFERROR(SUM($F497:$G497),"")</f>
        <v>0</v>
      </c>
      <c r="J497" s="116"/>
      <c r="K497" s="116"/>
      <c r="L497" s="116"/>
      <c r="M497" s="116"/>
      <c r="N497" s="116"/>
      <c r="O497" s="116"/>
      <c r="P497" s="116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</row>
    <row r="498" customFormat="false" ht="16.5" hidden="true" customHeight="true" outlineLevel="0" collapsed="false">
      <c r="A498" s="102"/>
      <c r="B498" s="117" t="s">
        <v>856</v>
      </c>
      <c r="C498" s="111"/>
      <c r="D498" s="118" t="s">
        <v>352</v>
      </c>
      <c r="E498" s="113" t="s">
        <v>75</v>
      </c>
      <c r="F498" s="119" t="n">
        <v>0</v>
      </c>
      <c r="G498" s="119" t="n">
        <v>0</v>
      </c>
      <c r="H498" s="115" t="n">
        <f aca="false">IFERROR(SUM($F498:$G498),"")</f>
        <v>0</v>
      </c>
      <c r="J498" s="116"/>
      <c r="K498" s="116"/>
      <c r="L498" s="116"/>
      <c r="M498" s="116"/>
      <c r="N498" s="116"/>
      <c r="O498" s="116"/>
      <c r="P498" s="116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</row>
    <row r="499" customFormat="false" ht="16.5" hidden="true" customHeight="true" outlineLevel="0" collapsed="false">
      <c r="A499" s="102"/>
      <c r="B499" s="117" t="s">
        <v>857</v>
      </c>
      <c r="C499" s="111"/>
      <c r="D499" s="118" t="s">
        <v>354</v>
      </c>
      <c r="E499" s="113" t="s">
        <v>75</v>
      </c>
      <c r="F499" s="119" t="n">
        <v>0</v>
      </c>
      <c r="G499" s="119" t="n">
        <v>0</v>
      </c>
      <c r="H499" s="115" t="n">
        <f aca="false">IFERROR(SUM($F499:$G499),"")</f>
        <v>0</v>
      </c>
      <c r="J499" s="116"/>
      <c r="K499" s="116"/>
      <c r="L499" s="116"/>
      <c r="M499" s="116"/>
      <c r="N499" s="116"/>
      <c r="O499" s="116"/>
      <c r="P499" s="116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</row>
    <row r="500" customFormat="false" ht="16.5" hidden="true" customHeight="true" outlineLevel="0" collapsed="false">
      <c r="A500" s="102"/>
      <c r="B500" s="117" t="s">
        <v>858</v>
      </c>
      <c r="C500" s="111"/>
      <c r="D500" s="118" t="s">
        <v>356</v>
      </c>
      <c r="E500" s="113" t="s">
        <v>75</v>
      </c>
      <c r="F500" s="119" t="n">
        <v>0</v>
      </c>
      <c r="G500" s="119" t="n">
        <v>0</v>
      </c>
      <c r="H500" s="115" t="n">
        <f aca="false">IFERROR(SUM($F500:$G500),"")</f>
        <v>0</v>
      </c>
      <c r="J500" s="116"/>
      <c r="K500" s="116"/>
      <c r="L500" s="116"/>
      <c r="M500" s="116"/>
      <c r="N500" s="116"/>
      <c r="O500" s="116"/>
      <c r="P500" s="116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</row>
    <row r="501" s="158" customFormat="true" ht="16.5" hidden="false" customHeight="true" outlineLevel="0" collapsed="false">
      <c r="A501" s="220"/>
      <c r="B501" s="152" t="s">
        <v>859</v>
      </c>
      <c r="C501" s="153"/>
      <c r="D501" s="154" t="s">
        <v>358</v>
      </c>
      <c r="E501" s="155" t="s">
        <v>75</v>
      </c>
      <c r="F501" s="156" t="n">
        <v>945</v>
      </c>
      <c r="G501" s="156" t="n">
        <v>0</v>
      </c>
      <c r="H501" s="157" t="n">
        <f aca="false">IFERROR(SUM($F501:$G501),"")</f>
        <v>945</v>
      </c>
      <c r="J501" s="159" t="n">
        <v>0.05</v>
      </c>
      <c r="K501" s="160" t="n">
        <f aca="false">+$H501*J501</f>
        <v>47.25</v>
      </c>
      <c r="L501" s="160" t="n">
        <v>0.25</v>
      </c>
      <c r="M501" s="160" t="n">
        <v>1.36</v>
      </c>
      <c r="N501" s="160" t="n">
        <f aca="false">+$H501*L501</f>
        <v>236.25</v>
      </c>
      <c r="O501" s="160" t="n">
        <f aca="false">+$H501*M501</f>
        <v>1285.2</v>
      </c>
      <c r="P501" s="160" t="n">
        <f aca="false">+SUM(N501:O501)</f>
        <v>1521.45</v>
      </c>
      <c r="R501" s="161" t="n">
        <v>0</v>
      </c>
      <c r="S501" s="161" t="n">
        <f aca="false">+R501*$H501</f>
        <v>0</v>
      </c>
      <c r="T501" s="161" t="n">
        <v>0.51</v>
      </c>
      <c r="U501" s="161" t="n">
        <f aca="false">+T501*$H501</f>
        <v>481.95</v>
      </c>
      <c r="V501" s="161" t="n">
        <f aca="false">+T501*$V$11</f>
        <v>2.55</v>
      </c>
      <c r="W501" s="161" t="n">
        <f aca="false">+V501*$H501</f>
        <v>2409.75</v>
      </c>
      <c r="X501" s="161" t="n">
        <v>0.1</v>
      </c>
      <c r="Y501" s="161" t="n">
        <f aca="false">+X501*$H501</f>
        <v>94.5</v>
      </c>
      <c r="Z501" s="161" t="n">
        <v>0.29</v>
      </c>
      <c r="AA501" s="161" t="n">
        <f aca="false">+Z501*$H501</f>
        <v>274.05</v>
      </c>
      <c r="AB501" s="161"/>
      <c r="AC501" s="161" t="n">
        <f aca="false">+AB501*$H501</f>
        <v>0</v>
      </c>
      <c r="AD501" s="161" t="n">
        <f aca="false">+R501+V501+X501+Z501+AB501</f>
        <v>2.94</v>
      </c>
      <c r="AE501" s="161" t="n">
        <f aca="false">+AD501*$H501</f>
        <v>2778.3</v>
      </c>
    </row>
    <row r="502" customFormat="false" ht="16.5" hidden="false" customHeight="true" outlineLevel="0" collapsed="false">
      <c r="A502" s="102"/>
      <c r="B502" s="162" t="s">
        <v>860</v>
      </c>
      <c r="C502" s="111"/>
      <c r="D502" s="163" t="s">
        <v>360</v>
      </c>
      <c r="E502" s="113" t="s">
        <v>75</v>
      </c>
      <c r="F502" s="119" t="n">
        <v>5834</v>
      </c>
      <c r="G502" s="119" t="n">
        <v>0</v>
      </c>
      <c r="H502" s="115" t="n">
        <f aca="false">IFERROR(SUM($F502:$G502),"")</f>
        <v>5834</v>
      </c>
      <c r="J502" s="120" t="n">
        <v>0.055</v>
      </c>
      <c r="K502" s="121" t="n">
        <f aca="false">+$H502*J502</f>
        <v>320.87</v>
      </c>
      <c r="L502" s="122" t="n">
        <v>0.28</v>
      </c>
      <c r="M502" s="122" t="n">
        <v>2.18</v>
      </c>
      <c r="N502" s="121" t="n">
        <f aca="false">+$H502*L502</f>
        <v>1633.52</v>
      </c>
      <c r="O502" s="121" t="n">
        <f aca="false">+$H502*M502</f>
        <v>12718.12</v>
      </c>
      <c r="P502" s="121" t="n">
        <f aca="false">+SUM(N502:O502)</f>
        <v>14351.64</v>
      </c>
      <c r="R502" s="109"/>
      <c r="S502" s="109" t="n">
        <f aca="false">+R502*$H502</f>
        <v>0</v>
      </c>
      <c r="T502" s="109"/>
      <c r="U502" s="109" t="n">
        <f aca="false">+T502*$H502</f>
        <v>0</v>
      </c>
      <c r="V502" s="109" t="n">
        <f aca="false">+T502*$V$11</f>
        <v>0</v>
      </c>
      <c r="W502" s="109" t="n">
        <f aca="false">+V502*$H502</f>
        <v>0</v>
      </c>
      <c r="X502" s="109"/>
      <c r="Y502" s="109" t="n">
        <f aca="false">+X502*$H502</f>
        <v>0</v>
      </c>
      <c r="Z502" s="109"/>
      <c r="AA502" s="109" t="n">
        <f aca="false">+Z502*$H502</f>
        <v>0</v>
      </c>
      <c r="AB502" s="109"/>
      <c r="AC502" s="109" t="n">
        <f aca="false">+AB502*$H502</f>
        <v>0</v>
      </c>
      <c r="AD502" s="109" t="n">
        <f aca="false">+R502+V502+X502+Z502+AB502</f>
        <v>0</v>
      </c>
      <c r="AE502" s="109" t="n">
        <f aca="false">+AD502*$H502</f>
        <v>0</v>
      </c>
    </row>
    <row r="503" s="171" customFormat="true" ht="16.5" hidden="false" customHeight="true" outlineLevel="0" collapsed="false">
      <c r="A503" s="221"/>
      <c r="B503" s="222" t="s">
        <v>861</v>
      </c>
      <c r="C503" s="223"/>
      <c r="D503" s="224" t="s">
        <v>362</v>
      </c>
      <c r="E503" s="225" t="s">
        <v>75</v>
      </c>
      <c r="F503" s="226" t="n">
        <v>6596</v>
      </c>
      <c r="G503" s="226" t="n">
        <v>0</v>
      </c>
      <c r="H503" s="227" t="n">
        <f aca="false">IFERROR(SUM($F503:$G503),"")</f>
        <v>6596</v>
      </c>
      <c r="J503" s="172" t="n">
        <v>0.065</v>
      </c>
      <c r="K503" s="173" t="n">
        <f aca="false">+$H503*J503</f>
        <v>428.74</v>
      </c>
      <c r="L503" s="173" t="n">
        <v>0.33</v>
      </c>
      <c r="M503" s="173" t="n">
        <v>3.26</v>
      </c>
      <c r="N503" s="173" t="n">
        <f aca="false">+$H503*L503</f>
        <v>2176.68</v>
      </c>
      <c r="O503" s="173" t="n">
        <f aca="false">+$H503*M503</f>
        <v>21502.96</v>
      </c>
      <c r="P503" s="173" t="n">
        <f aca="false">+SUM(N503:O503)</f>
        <v>23679.64</v>
      </c>
      <c r="R503" s="174"/>
      <c r="S503" s="174" t="n">
        <f aca="false">+R503*$H503</f>
        <v>0</v>
      </c>
      <c r="T503" s="174" t="n">
        <v>0.65</v>
      </c>
      <c r="U503" s="174" t="n">
        <f aca="false">+T503*$H503</f>
        <v>4287.4</v>
      </c>
      <c r="V503" s="174" t="n">
        <f aca="false">+T503*$V$11</f>
        <v>3.25</v>
      </c>
      <c r="W503" s="174" t="n">
        <f aca="false">+V503*$H503</f>
        <v>21437</v>
      </c>
      <c r="X503" s="174" t="n">
        <v>0.14</v>
      </c>
      <c r="Y503" s="174" t="n">
        <f aca="false">+X503*$H503</f>
        <v>923.44</v>
      </c>
      <c r="Z503" s="174" t="n">
        <v>0.37</v>
      </c>
      <c r="AA503" s="174" t="n">
        <f aca="false">+Z503*$H503</f>
        <v>2440.52</v>
      </c>
      <c r="AB503" s="174"/>
      <c r="AC503" s="174" t="n">
        <f aca="false">+AB503*$H503</f>
        <v>0</v>
      </c>
      <c r="AD503" s="174" t="n">
        <f aca="false">+R503+V503+X503+Z503+AB503</f>
        <v>3.76</v>
      </c>
      <c r="AE503" s="174" t="n">
        <f aca="false">+AD503*$H503</f>
        <v>24800.96</v>
      </c>
    </row>
    <row r="504" s="182" customFormat="true" ht="16.5" hidden="false" customHeight="true" outlineLevel="0" collapsed="false">
      <c r="A504" s="228"/>
      <c r="B504" s="176" t="s">
        <v>862</v>
      </c>
      <c r="C504" s="177"/>
      <c r="D504" s="178" t="s">
        <v>364</v>
      </c>
      <c r="E504" s="179" t="s">
        <v>75</v>
      </c>
      <c r="F504" s="180" t="n">
        <v>825</v>
      </c>
      <c r="G504" s="180" t="n">
        <v>0</v>
      </c>
      <c r="H504" s="181" t="n">
        <f aca="false">IFERROR(SUM($F504:$G504),"")</f>
        <v>825</v>
      </c>
      <c r="J504" s="183" t="n">
        <v>0.065</v>
      </c>
      <c r="K504" s="184" t="n">
        <f aca="false">+$H504*J504</f>
        <v>53.625</v>
      </c>
      <c r="L504" s="184" t="n">
        <v>0.33</v>
      </c>
      <c r="M504" s="184" t="n">
        <v>5.44</v>
      </c>
      <c r="N504" s="184" t="n">
        <f aca="false">+$H504*L504</f>
        <v>272.25</v>
      </c>
      <c r="O504" s="184" t="n">
        <f aca="false">+$H504*M504</f>
        <v>4488</v>
      </c>
      <c r="P504" s="184" t="n">
        <f aca="false">+SUM(N504:O504)</f>
        <v>4760.25</v>
      </c>
      <c r="R504" s="185"/>
      <c r="S504" s="185" t="n">
        <f aca="false">+R504*$H504</f>
        <v>0</v>
      </c>
      <c r="T504" s="185" t="n">
        <v>0.65</v>
      </c>
      <c r="U504" s="185" t="n">
        <f aca="false">+T504*$H504</f>
        <v>536.25</v>
      </c>
      <c r="V504" s="185" t="n">
        <f aca="false">+T504*$V$11</f>
        <v>3.25</v>
      </c>
      <c r="W504" s="185" t="n">
        <f aca="false">+V504*$H504</f>
        <v>2681.25</v>
      </c>
      <c r="X504" s="185" t="n">
        <v>0.14</v>
      </c>
      <c r="Y504" s="185" t="n">
        <f aca="false">+X504*$H504</f>
        <v>115.5</v>
      </c>
      <c r="Z504" s="185" t="n">
        <v>0.37</v>
      </c>
      <c r="AA504" s="185" t="n">
        <f aca="false">+Z504*$H504</f>
        <v>305.25</v>
      </c>
      <c r="AB504" s="185"/>
      <c r="AC504" s="185" t="n">
        <f aca="false">+AB504*$H504</f>
        <v>0</v>
      </c>
      <c r="AD504" s="185" t="n">
        <f aca="false">+R504+V504+X504+Z504+AB504</f>
        <v>3.76</v>
      </c>
      <c r="AE504" s="185" t="n">
        <f aca="false">+AD504*$H504</f>
        <v>3102</v>
      </c>
    </row>
    <row r="505" s="193" customFormat="true" ht="16.5" hidden="false" customHeight="true" outlineLevel="0" collapsed="false">
      <c r="A505" s="229"/>
      <c r="B505" s="187" t="s">
        <v>863</v>
      </c>
      <c r="C505" s="188"/>
      <c r="D505" s="189" t="s">
        <v>366</v>
      </c>
      <c r="E505" s="190" t="s">
        <v>75</v>
      </c>
      <c r="F505" s="191" t="n">
        <v>3762</v>
      </c>
      <c r="G505" s="191" t="n">
        <v>0</v>
      </c>
      <c r="H505" s="192" t="n">
        <f aca="false">IFERROR(SUM($F505:$G505),"")</f>
        <v>3762</v>
      </c>
      <c r="J505" s="194" t="n">
        <v>0.07</v>
      </c>
      <c r="K505" s="195" t="n">
        <f aca="false">+$H505*J505</f>
        <v>263.34</v>
      </c>
      <c r="L505" s="195" t="n">
        <v>0.35</v>
      </c>
      <c r="M505" s="195" t="n">
        <v>8.71</v>
      </c>
      <c r="N505" s="195" t="n">
        <f aca="false">+$H505*L505</f>
        <v>1316.7</v>
      </c>
      <c r="O505" s="195" t="n">
        <f aca="false">+$H505*M505</f>
        <v>32767.02</v>
      </c>
      <c r="P505" s="195" t="n">
        <f aca="false">+SUM(N505:O505)</f>
        <v>34083.72</v>
      </c>
      <c r="R505" s="196"/>
      <c r="S505" s="196" t="n">
        <f aca="false">+R505*$H505</f>
        <v>0</v>
      </c>
      <c r="T505" s="196" t="n">
        <v>0.65</v>
      </c>
      <c r="U505" s="196" t="n">
        <f aca="false">+T505*$H505</f>
        <v>2445.3</v>
      </c>
      <c r="V505" s="196" t="n">
        <f aca="false">+T505*$V$11</f>
        <v>3.25</v>
      </c>
      <c r="W505" s="196" t="n">
        <f aca="false">+V505*$H505</f>
        <v>12226.5</v>
      </c>
      <c r="X505" s="196" t="n">
        <v>0.14</v>
      </c>
      <c r="Y505" s="196" t="n">
        <f aca="false">+X505*$H505</f>
        <v>526.68</v>
      </c>
      <c r="Z505" s="196" t="n">
        <v>0.37</v>
      </c>
      <c r="AA505" s="196" t="n">
        <f aca="false">+Z505*$H505</f>
        <v>1391.94</v>
      </c>
      <c r="AB505" s="196"/>
      <c r="AC505" s="196" t="n">
        <f aca="false">+AB505*$H505</f>
        <v>0</v>
      </c>
      <c r="AD505" s="196" t="n">
        <f aca="false">+R505+V505+X505+Z505+AB505</f>
        <v>3.76</v>
      </c>
      <c r="AE505" s="196" t="n">
        <f aca="false">+AD505*$H505</f>
        <v>14145.12</v>
      </c>
    </row>
    <row r="506" customFormat="false" ht="16.5" hidden="false" customHeight="true" outlineLevel="0" collapsed="false">
      <c r="A506" s="102"/>
      <c r="B506" s="117" t="s">
        <v>864</v>
      </c>
      <c r="C506" s="111"/>
      <c r="D506" s="118" t="s">
        <v>368</v>
      </c>
      <c r="E506" s="113" t="s">
        <v>75</v>
      </c>
      <c r="F506" s="119" t="n">
        <v>5205</v>
      </c>
      <c r="G506" s="119" t="n">
        <v>0</v>
      </c>
      <c r="H506" s="115" t="n">
        <f aca="false">IFERROR(SUM($F506:$G506),"")</f>
        <v>5205</v>
      </c>
      <c r="J506" s="120" t="n">
        <v>0.08</v>
      </c>
      <c r="K506" s="121" t="n">
        <f aca="false">+$H506*J506</f>
        <v>416.4</v>
      </c>
      <c r="L506" s="122" t="n">
        <v>0.4</v>
      </c>
      <c r="M506" s="122" t="n">
        <v>13.6</v>
      </c>
      <c r="N506" s="121" t="n">
        <f aca="false">+$H506*L506</f>
        <v>2082</v>
      </c>
      <c r="O506" s="121" t="n">
        <f aca="false">+$H506*M506</f>
        <v>70788</v>
      </c>
      <c r="P506" s="121" t="n">
        <f aca="false">+SUM(N506:O506)</f>
        <v>72870</v>
      </c>
      <c r="R506" s="109"/>
      <c r="S506" s="109" t="n">
        <f aca="false">+R506*$H506</f>
        <v>0</v>
      </c>
      <c r="T506" s="109"/>
      <c r="U506" s="109" t="n">
        <f aca="false">+T506*$H506</f>
        <v>0</v>
      </c>
      <c r="V506" s="109" t="n">
        <f aca="false">+T506*$V$11</f>
        <v>0</v>
      </c>
      <c r="W506" s="109" t="n">
        <f aca="false">+V506*$H506</f>
        <v>0</v>
      </c>
      <c r="X506" s="109"/>
      <c r="Y506" s="109" t="n">
        <f aca="false">+X506*$H506</f>
        <v>0</v>
      </c>
      <c r="Z506" s="109"/>
      <c r="AA506" s="109" t="n">
        <f aca="false">+Z506*$H506</f>
        <v>0</v>
      </c>
      <c r="AB506" s="109"/>
      <c r="AC506" s="109" t="n">
        <f aca="false">+AB506*$H506</f>
        <v>0</v>
      </c>
      <c r="AD506" s="109" t="n">
        <f aca="false">+R506+V506+X506+Z506+AB506</f>
        <v>0</v>
      </c>
      <c r="AE506" s="109" t="n">
        <f aca="false">+AD506*$H506</f>
        <v>0</v>
      </c>
    </row>
    <row r="507" customFormat="false" ht="16.5" hidden="false" customHeight="true" outlineLevel="0" collapsed="false">
      <c r="A507" s="102"/>
      <c r="B507" s="117" t="s">
        <v>865</v>
      </c>
      <c r="C507" s="111"/>
      <c r="D507" s="118" t="s">
        <v>370</v>
      </c>
      <c r="E507" s="113" t="s">
        <v>75</v>
      </c>
      <c r="F507" s="119" t="n">
        <v>4489</v>
      </c>
      <c r="G507" s="119" t="n">
        <v>0</v>
      </c>
      <c r="H507" s="115" t="n">
        <f aca="false">IFERROR(SUM($F507:$G507),"")</f>
        <v>4489</v>
      </c>
      <c r="J507" s="120" t="n">
        <v>0.1</v>
      </c>
      <c r="K507" s="121" t="n">
        <f aca="false">+$H507*J507</f>
        <v>448.9</v>
      </c>
      <c r="L507" s="122" t="n">
        <v>0.5</v>
      </c>
      <c r="M507" s="122" t="n">
        <v>19.04</v>
      </c>
      <c r="N507" s="121" t="n">
        <f aca="false">+$H507*L507</f>
        <v>2244.5</v>
      </c>
      <c r="O507" s="121" t="n">
        <f aca="false">+$H507*M507</f>
        <v>85470.56</v>
      </c>
      <c r="P507" s="121" t="n">
        <f aca="false">+SUM(N507:O507)</f>
        <v>87715.06</v>
      </c>
      <c r="R507" s="109"/>
      <c r="S507" s="109" t="n">
        <f aca="false">+R507*$H507</f>
        <v>0</v>
      </c>
      <c r="T507" s="109"/>
      <c r="U507" s="109" t="n">
        <f aca="false">+T507*$H507</f>
        <v>0</v>
      </c>
      <c r="V507" s="109" t="n">
        <f aca="false">+T507*$V$11</f>
        <v>0</v>
      </c>
      <c r="W507" s="109" t="n">
        <f aca="false">+V507*$H507</f>
        <v>0</v>
      </c>
      <c r="X507" s="109"/>
      <c r="Y507" s="109" t="n">
        <f aca="false">+X507*$H507</f>
        <v>0</v>
      </c>
      <c r="Z507" s="109"/>
      <c r="AA507" s="109" t="n">
        <f aca="false">+Z507*$H507</f>
        <v>0</v>
      </c>
      <c r="AB507" s="109"/>
      <c r="AC507" s="109" t="n">
        <f aca="false">+AB507*$H507</f>
        <v>0</v>
      </c>
      <c r="AD507" s="109" t="n">
        <f aca="false">+R507+V507+X507+Z507+AB507</f>
        <v>0</v>
      </c>
      <c r="AE507" s="109" t="n">
        <f aca="false">+AD507*$H507</f>
        <v>0</v>
      </c>
    </row>
    <row r="508" customFormat="false" ht="16.5" hidden="false" customHeight="true" outlineLevel="0" collapsed="false">
      <c r="A508" s="102"/>
      <c r="B508" s="117" t="s">
        <v>866</v>
      </c>
      <c r="C508" s="111"/>
      <c r="D508" s="118" t="s">
        <v>372</v>
      </c>
      <c r="E508" s="113" t="s">
        <v>75</v>
      </c>
      <c r="F508" s="119" t="n">
        <v>5267</v>
      </c>
      <c r="G508" s="119" t="n">
        <v>0</v>
      </c>
      <c r="H508" s="115" t="n">
        <f aca="false">IFERROR(SUM($F508:$G508),"")</f>
        <v>5267</v>
      </c>
      <c r="J508" s="120" t="n">
        <v>0.11</v>
      </c>
      <c r="K508" s="121" t="n">
        <f aca="false">+$H508*J508</f>
        <v>579.37</v>
      </c>
      <c r="L508" s="122" t="n">
        <v>0.55</v>
      </c>
      <c r="M508" s="122" t="n">
        <v>27.2</v>
      </c>
      <c r="N508" s="121" t="n">
        <f aca="false">+$H508*L508</f>
        <v>2896.85</v>
      </c>
      <c r="O508" s="121" t="n">
        <f aca="false">+$H508*M508</f>
        <v>143262.4</v>
      </c>
      <c r="P508" s="121" t="n">
        <f aca="false">+SUM(N508:O508)</f>
        <v>146159.25</v>
      </c>
      <c r="R508" s="109"/>
      <c r="S508" s="109" t="n">
        <f aca="false">+R508*$H508</f>
        <v>0</v>
      </c>
      <c r="T508" s="109"/>
      <c r="U508" s="109" t="n">
        <f aca="false">+T508*$H508</f>
        <v>0</v>
      </c>
      <c r="V508" s="109" t="n">
        <f aca="false">+T508*$V$11</f>
        <v>0</v>
      </c>
      <c r="W508" s="109" t="n">
        <f aca="false">+V508*$H508</f>
        <v>0</v>
      </c>
      <c r="X508" s="109"/>
      <c r="Y508" s="109" t="n">
        <f aca="false">+X508*$H508</f>
        <v>0</v>
      </c>
      <c r="Z508" s="109"/>
      <c r="AA508" s="109" t="n">
        <f aca="false">+Z508*$H508</f>
        <v>0</v>
      </c>
      <c r="AB508" s="109"/>
      <c r="AC508" s="109" t="n">
        <f aca="false">+AB508*$H508</f>
        <v>0</v>
      </c>
      <c r="AD508" s="109" t="n">
        <f aca="false">+R508+V508+X508+Z508+AB508</f>
        <v>0</v>
      </c>
      <c r="AE508" s="109" t="n">
        <f aca="false">+AD508*$H508</f>
        <v>0</v>
      </c>
    </row>
    <row r="509" customFormat="false" ht="16.5" hidden="false" customHeight="true" outlineLevel="0" collapsed="false">
      <c r="A509" s="102"/>
      <c r="B509" s="117" t="s">
        <v>867</v>
      </c>
      <c r="C509" s="111"/>
      <c r="D509" s="118" t="s">
        <v>374</v>
      </c>
      <c r="E509" s="113" t="s">
        <v>75</v>
      </c>
      <c r="F509" s="119" t="n">
        <v>16603</v>
      </c>
      <c r="G509" s="119" t="n">
        <v>0</v>
      </c>
      <c r="H509" s="115" t="n">
        <f aca="false">IFERROR(SUM($F509:$G509),"")</f>
        <v>16603</v>
      </c>
      <c r="J509" s="120" t="n">
        <v>0.13</v>
      </c>
      <c r="K509" s="121" t="n">
        <f aca="false">+$H509*J509</f>
        <v>2158.39</v>
      </c>
      <c r="L509" s="122" t="n">
        <v>0.65</v>
      </c>
      <c r="M509" s="122" t="n">
        <v>38.08</v>
      </c>
      <c r="N509" s="121" t="n">
        <f aca="false">+$H509*L509</f>
        <v>10791.95</v>
      </c>
      <c r="O509" s="121" t="n">
        <f aca="false">+$H509*M509</f>
        <v>632242.24</v>
      </c>
      <c r="P509" s="121" t="n">
        <f aca="false">+SUM(N509:O509)</f>
        <v>643034.19</v>
      </c>
      <c r="R509" s="109"/>
      <c r="S509" s="109" t="n">
        <f aca="false">+R509*$H509</f>
        <v>0</v>
      </c>
      <c r="T509" s="109"/>
      <c r="U509" s="109" t="n">
        <f aca="false">+T509*$H509</f>
        <v>0</v>
      </c>
      <c r="V509" s="109" t="n">
        <f aca="false">+T509*$V$11</f>
        <v>0</v>
      </c>
      <c r="W509" s="109" t="n">
        <f aca="false">+V509*$H509</f>
        <v>0</v>
      </c>
      <c r="X509" s="109"/>
      <c r="Y509" s="109" t="n">
        <f aca="false">+X509*$H509</f>
        <v>0</v>
      </c>
      <c r="Z509" s="109"/>
      <c r="AA509" s="109" t="n">
        <f aca="false">+Z509*$H509</f>
        <v>0</v>
      </c>
      <c r="AB509" s="109"/>
      <c r="AC509" s="109" t="n">
        <f aca="false">+AB509*$H509</f>
        <v>0</v>
      </c>
      <c r="AD509" s="109" t="n">
        <f aca="false">+R509+V509+X509+Z509+AB509</f>
        <v>0</v>
      </c>
      <c r="AE509" s="109" t="n">
        <f aca="false">+AD509*$H509</f>
        <v>0</v>
      </c>
    </row>
    <row r="510" customFormat="false" ht="16.5" hidden="false" customHeight="true" outlineLevel="0" collapsed="false">
      <c r="A510" s="102"/>
      <c r="B510" s="117" t="s">
        <v>868</v>
      </c>
      <c r="C510" s="111"/>
      <c r="D510" s="118" t="s">
        <v>376</v>
      </c>
      <c r="E510" s="113" t="s">
        <v>75</v>
      </c>
      <c r="F510" s="119" t="n">
        <v>3023</v>
      </c>
      <c r="G510" s="119" t="n">
        <v>0</v>
      </c>
      <c r="H510" s="115" t="n">
        <f aca="false">IFERROR(SUM($F510:$G510),"")</f>
        <v>3023</v>
      </c>
      <c r="J510" s="120" t="n">
        <v>0.14</v>
      </c>
      <c r="K510" s="121" t="n">
        <f aca="false">+$H510*J510</f>
        <v>423.22</v>
      </c>
      <c r="L510" s="122" t="n">
        <v>0.7</v>
      </c>
      <c r="M510" s="122" t="n">
        <v>51.69</v>
      </c>
      <c r="N510" s="121" t="n">
        <f aca="false">+$H510*L510</f>
        <v>2116.1</v>
      </c>
      <c r="O510" s="121" t="n">
        <f aca="false">+$H510*M510</f>
        <v>156258.87</v>
      </c>
      <c r="P510" s="121" t="n">
        <f aca="false">+SUM(N510:O510)</f>
        <v>158374.97</v>
      </c>
      <c r="R510" s="109"/>
      <c r="S510" s="109" t="n">
        <f aca="false">+R510*$H510</f>
        <v>0</v>
      </c>
      <c r="T510" s="109"/>
      <c r="U510" s="109" t="n">
        <f aca="false">+T510*$H510</f>
        <v>0</v>
      </c>
      <c r="V510" s="109" t="n">
        <f aca="false">+T510*$V$11</f>
        <v>0</v>
      </c>
      <c r="W510" s="109" t="n">
        <f aca="false">+V510*$H510</f>
        <v>0</v>
      </c>
      <c r="X510" s="109"/>
      <c r="Y510" s="109" t="n">
        <f aca="false">+X510*$H510</f>
        <v>0</v>
      </c>
      <c r="Z510" s="109"/>
      <c r="AA510" s="109" t="n">
        <f aca="false">+Z510*$H510</f>
        <v>0</v>
      </c>
      <c r="AB510" s="109"/>
      <c r="AC510" s="109" t="n">
        <f aca="false">+AB510*$H510</f>
        <v>0</v>
      </c>
      <c r="AD510" s="109" t="n">
        <f aca="false">+R510+V510+X510+Z510+AB510</f>
        <v>0</v>
      </c>
      <c r="AE510" s="109" t="n">
        <f aca="false">+AD510*$H510</f>
        <v>0</v>
      </c>
    </row>
    <row r="511" customFormat="false" ht="16.5" hidden="false" customHeight="true" outlineLevel="0" collapsed="false">
      <c r="A511" s="102"/>
      <c r="B511" s="117" t="s">
        <v>869</v>
      </c>
      <c r="C511" s="111"/>
      <c r="D511" s="118" t="s">
        <v>378</v>
      </c>
      <c r="E511" s="113" t="s">
        <v>75</v>
      </c>
      <c r="F511" s="119" t="n">
        <v>4518</v>
      </c>
      <c r="G511" s="119" t="n">
        <v>0</v>
      </c>
      <c r="H511" s="115" t="n">
        <f aca="false">IFERROR(SUM($F511:$G511),"")</f>
        <v>4518</v>
      </c>
      <c r="J511" s="120" t="n">
        <v>0.16</v>
      </c>
      <c r="K511" s="121" t="n">
        <f aca="false">+$H511*J511</f>
        <v>722.88</v>
      </c>
      <c r="L511" s="122" t="n">
        <v>0.8</v>
      </c>
      <c r="M511" s="122" t="n">
        <v>65.29</v>
      </c>
      <c r="N511" s="121" t="n">
        <f aca="false">+$H511*L511</f>
        <v>3614.4</v>
      </c>
      <c r="O511" s="121" t="n">
        <f aca="false">+$H511*M511</f>
        <v>294980.22</v>
      </c>
      <c r="P511" s="121" t="n">
        <f aca="false">+SUM(N511:O511)</f>
        <v>298594.62</v>
      </c>
      <c r="R511" s="109"/>
      <c r="S511" s="109" t="n">
        <f aca="false">+R511*$H511</f>
        <v>0</v>
      </c>
      <c r="T511" s="109"/>
      <c r="U511" s="109" t="n">
        <f aca="false">+T511*$H511</f>
        <v>0</v>
      </c>
      <c r="V511" s="109" t="n">
        <f aca="false">+T511*$V$11</f>
        <v>0</v>
      </c>
      <c r="W511" s="109" t="n">
        <f aca="false">+V511*$H511</f>
        <v>0</v>
      </c>
      <c r="X511" s="109"/>
      <c r="Y511" s="109" t="n">
        <f aca="false">+X511*$H511</f>
        <v>0</v>
      </c>
      <c r="Z511" s="109"/>
      <c r="AA511" s="109" t="n">
        <f aca="false">+Z511*$H511</f>
        <v>0</v>
      </c>
      <c r="AB511" s="109"/>
      <c r="AC511" s="109" t="n">
        <f aca="false">+AB511*$H511</f>
        <v>0</v>
      </c>
      <c r="AD511" s="109" t="n">
        <f aca="false">+R511+V511+X511+Z511+AB511</f>
        <v>0</v>
      </c>
      <c r="AE511" s="109" t="n">
        <f aca="false">+AD511*$H511</f>
        <v>0</v>
      </c>
    </row>
    <row r="512" customFormat="false" ht="16.5" hidden="false" customHeight="true" outlineLevel="0" collapsed="false">
      <c r="A512" s="102"/>
      <c r="B512" s="117" t="s">
        <v>870</v>
      </c>
      <c r="C512" s="111"/>
      <c r="D512" s="118" t="s">
        <v>380</v>
      </c>
      <c r="E512" s="113" t="s">
        <v>75</v>
      </c>
      <c r="F512" s="119" t="n">
        <v>9241</v>
      </c>
      <c r="G512" s="119" t="n">
        <v>0</v>
      </c>
      <c r="H512" s="115" t="n">
        <f aca="false">IFERROR(SUM($F512:$G512),"")</f>
        <v>9241</v>
      </c>
      <c r="J512" s="120" t="n">
        <v>0.18</v>
      </c>
      <c r="K512" s="121" t="n">
        <f aca="false">+$H512*J512</f>
        <v>1663.38</v>
      </c>
      <c r="L512" s="122" t="n">
        <v>0.9</v>
      </c>
      <c r="M512" s="122" t="n">
        <v>81.61</v>
      </c>
      <c r="N512" s="121" t="n">
        <f aca="false">+$H512*L512</f>
        <v>8316.9</v>
      </c>
      <c r="O512" s="121" t="n">
        <f aca="false">+$H512*M512</f>
        <v>754158.01</v>
      </c>
      <c r="P512" s="121" t="n">
        <f aca="false">+SUM(N512:O512)</f>
        <v>762474.91</v>
      </c>
      <c r="R512" s="109"/>
      <c r="S512" s="109" t="n">
        <f aca="false">+R512*$H512</f>
        <v>0</v>
      </c>
      <c r="T512" s="109"/>
      <c r="U512" s="109" t="n">
        <f aca="false">+T512*$H512</f>
        <v>0</v>
      </c>
      <c r="V512" s="109" t="n">
        <f aca="false">+T512*$V$11</f>
        <v>0</v>
      </c>
      <c r="W512" s="109" t="n">
        <f aca="false">+V512*$H512</f>
        <v>0</v>
      </c>
      <c r="X512" s="109"/>
      <c r="Y512" s="109" t="n">
        <f aca="false">+X512*$H512</f>
        <v>0</v>
      </c>
      <c r="Z512" s="109"/>
      <c r="AA512" s="109" t="n">
        <f aca="false">+Z512*$H512</f>
        <v>0</v>
      </c>
      <c r="AB512" s="109"/>
      <c r="AC512" s="109" t="n">
        <f aca="false">+AB512*$H512</f>
        <v>0</v>
      </c>
      <c r="AD512" s="109" t="n">
        <f aca="false">+R512+V512+X512+Z512+AB512</f>
        <v>0</v>
      </c>
      <c r="AE512" s="109" t="n">
        <f aca="false">+AD512*$H512</f>
        <v>0</v>
      </c>
    </row>
    <row r="513" customFormat="false" ht="16.5" hidden="false" customHeight="true" outlineLevel="0" collapsed="false">
      <c r="A513" s="102"/>
      <c r="B513" s="117" t="s">
        <v>871</v>
      </c>
      <c r="C513" s="111"/>
      <c r="D513" s="118" t="s">
        <v>382</v>
      </c>
      <c r="E513" s="113" t="s">
        <v>75</v>
      </c>
      <c r="F513" s="119" t="n">
        <v>4180</v>
      </c>
      <c r="G513" s="119" t="n">
        <v>0</v>
      </c>
      <c r="H513" s="115" t="n">
        <f aca="false">IFERROR(SUM($F513:$G513),"")</f>
        <v>4180</v>
      </c>
      <c r="J513" s="120" t="n">
        <v>0.19</v>
      </c>
      <c r="K513" s="121" t="n">
        <f aca="false">+$H513*J513</f>
        <v>794.2</v>
      </c>
      <c r="L513" s="122" t="n">
        <v>0.95</v>
      </c>
      <c r="M513" s="122" t="n">
        <v>100.65</v>
      </c>
      <c r="N513" s="121" t="n">
        <f aca="false">+$H513*L513</f>
        <v>3971</v>
      </c>
      <c r="O513" s="121" t="n">
        <f aca="false">+$H513*M513</f>
        <v>420717</v>
      </c>
      <c r="P513" s="121" t="n">
        <f aca="false">+SUM(N513:O513)</f>
        <v>424688</v>
      </c>
      <c r="R513" s="109"/>
      <c r="S513" s="109" t="n">
        <f aca="false">+R513*$H513</f>
        <v>0</v>
      </c>
      <c r="T513" s="109"/>
      <c r="U513" s="109" t="n">
        <f aca="false">+T513*$H513</f>
        <v>0</v>
      </c>
      <c r="V513" s="109" t="n">
        <f aca="false">+T513*$V$11</f>
        <v>0</v>
      </c>
      <c r="W513" s="109" t="n">
        <f aca="false">+V513*$H513</f>
        <v>0</v>
      </c>
      <c r="X513" s="109"/>
      <c r="Y513" s="109" t="n">
        <f aca="false">+X513*$H513</f>
        <v>0</v>
      </c>
      <c r="Z513" s="109"/>
      <c r="AA513" s="109" t="n">
        <f aca="false">+Z513*$H513</f>
        <v>0</v>
      </c>
      <c r="AB513" s="109"/>
      <c r="AC513" s="109" t="n">
        <f aca="false">+AB513*$H513</f>
        <v>0</v>
      </c>
      <c r="AD513" s="109" t="n">
        <f aca="false">+R513+V513+X513+Z513+AB513</f>
        <v>0</v>
      </c>
      <c r="AE513" s="109" t="n">
        <f aca="false">+AD513*$H513</f>
        <v>0</v>
      </c>
    </row>
    <row r="514" customFormat="false" ht="16.5" hidden="false" customHeight="true" outlineLevel="0" collapsed="false">
      <c r="A514" s="102"/>
      <c r="B514" s="117" t="s">
        <v>872</v>
      </c>
      <c r="C514" s="111"/>
      <c r="D514" s="118" t="s">
        <v>384</v>
      </c>
      <c r="E514" s="113" t="s">
        <v>75</v>
      </c>
      <c r="F514" s="119" t="n">
        <v>7523</v>
      </c>
      <c r="G514" s="119" t="n">
        <v>0</v>
      </c>
      <c r="H514" s="115" t="n">
        <f aca="false">IFERROR(SUM($F514:$G514),"")</f>
        <v>7523</v>
      </c>
      <c r="J514" s="120" t="n">
        <v>0.22</v>
      </c>
      <c r="K514" s="121" t="n">
        <f aca="false">+$H514*J514</f>
        <v>1655.06</v>
      </c>
      <c r="L514" s="122" t="n">
        <v>1.1</v>
      </c>
      <c r="M514" s="122" t="n">
        <v>130.58</v>
      </c>
      <c r="N514" s="121" t="n">
        <f aca="false">+$H514*L514</f>
        <v>8275.3</v>
      </c>
      <c r="O514" s="121" t="n">
        <f aca="false">+$H514*M514</f>
        <v>982353.34</v>
      </c>
      <c r="P514" s="121" t="n">
        <f aca="false">+SUM(N514:O514)</f>
        <v>990628.64</v>
      </c>
      <c r="R514" s="109"/>
      <c r="S514" s="109" t="n">
        <f aca="false">+R514*$H514</f>
        <v>0</v>
      </c>
      <c r="T514" s="109"/>
      <c r="U514" s="109" t="n">
        <f aca="false">+T514*$H514</f>
        <v>0</v>
      </c>
      <c r="V514" s="109" t="n">
        <f aca="false">+T514*$V$11</f>
        <v>0</v>
      </c>
      <c r="W514" s="109" t="n">
        <f aca="false">+V514*$H514</f>
        <v>0</v>
      </c>
      <c r="X514" s="109"/>
      <c r="Y514" s="109" t="n">
        <f aca="false">+X514*$H514</f>
        <v>0</v>
      </c>
      <c r="Z514" s="109"/>
      <c r="AA514" s="109" t="n">
        <f aca="false">+Z514*$H514</f>
        <v>0</v>
      </c>
      <c r="AB514" s="109"/>
      <c r="AC514" s="109" t="n">
        <f aca="false">+AB514*$H514</f>
        <v>0</v>
      </c>
      <c r="AD514" s="109" t="n">
        <f aca="false">+R514+V514+X514+Z514+AB514</f>
        <v>0</v>
      </c>
      <c r="AE514" s="109" t="n">
        <f aca="false">+AD514*$H514</f>
        <v>0</v>
      </c>
    </row>
    <row r="515" customFormat="false" ht="16.5" hidden="true" customHeight="true" outlineLevel="0" collapsed="false">
      <c r="A515" s="102"/>
      <c r="B515" s="117" t="s">
        <v>873</v>
      </c>
      <c r="C515" s="111"/>
      <c r="D515" s="118" t="s">
        <v>386</v>
      </c>
      <c r="E515" s="113" t="s">
        <v>75</v>
      </c>
      <c r="F515" s="119" t="n">
        <v>0</v>
      </c>
      <c r="G515" s="119" t="n">
        <v>0</v>
      </c>
      <c r="H515" s="115" t="n">
        <f aca="false">IFERROR(SUM($F515:$G515),"")</f>
        <v>0</v>
      </c>
      <c r="J515" s="116"/>
      <c r="K515" s="116"/>
      <c r="L515" s="116"/>
      <c r="M515" s="116"/>
      <c r="N515" s="116"/>
      <c r="O515" s="116"/>
      <c r="P515" s="116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</row>
    <row r="516" customFormat="false" ht="16.5" hidden="true" customHeight="true" outlineLevel="0" collapsed="false">
      <c r="A516" s="102"/>
      <c r="B516" s="117" t="s">
        <v>874</v>
      </c>
      <c r="C516" s="111"/>
      <c r="D516" s="118" t="s">
        <v>388</v>
      </c>
      <c r="E516" s="113" t="s">
        <v>75</v>
      </c>
      <c r="F516" s="119" t="n">
        <v>0</v>
      </c>
      <c r="G516" s="119" t="n">
        <v>0</v>
      </c>
      <c r="H516" s="115" t="n">
        <f aca="false">IFERROR(SUM($F516:$G516),"")</f>
        <v>0</v>
      </c>
      <c r="J516" s="116"/>
      <c r="K516" s="116"/>
      <c r="L516" s="116"/>
      <c r="M516" s="116"/>
      <c r="N516" s="116"/>
      <c r="O516" s="116"/>
      <c r="P516" s="116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</row>
    <row r="517" customFormat="false" ht="16.5" hidden="true" customHeight="true" outlineLevel="0" collapsed="false">
      <c r="A517" s="102"/>
      <c r="B517" s="117" t="s">
        <v>875</v>
      </c>
      <c r="C517" s="111"/>
      <c r="D517" s="118" t="s">
        <v>390</v>
      </c>
      <c r="E517" s="113" t="s">
        <v>75</v>
      </c>
      <c r="F517" s="119" t="n">
        <v>0</v>
      </c>
      <c r="G517" s="119" t="n">
        <v>0</v>
      </c>
      <c r="H517" s="115" t="n">
        <f aca="false">IFERROR(SUM($F517:$G517),"")</f>
        <v>0</v>
      </c>
      <c r="J517" s="116"/>
      <c r="K517" s="116"/>
      <c r="L517" s="116"/>
      <c r="M517" s="116"/>
      <c r="N517" s="116"/>
      <c r="O517" s="116"/>
      <c r="P517" s="116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</row>
    <row r="518" customFormat="false" ht="16.5" hidden="true" customHeight="true" outlineLevel="0" collapsed="false">
      <c r="A518" s="102"/>
      <c r="B518" s="117" t="s">
        <v>876</v>
      </c>
      <c r="C518" s="111"/>
      <c r="D518" s="118" t="s">
        <v>392</v>
      </c>
      <c r="E518" s="113" t="s">
        <v>75</v>
      </c>
      <c r="F518" s="119" t="n">
        <v>0</v>
      </c>
      <c r="G518" s="119" t="n">
        <v>0</v>
      </c>
      <c r="H518" s="115" t="n">
        <f aca="false">IFERROR(SUM($F518:$G518),"")</f>
        <v>0</v>
      </c>
      <c r="J518" s="116"/>
      <c r="K518" s="116"/>
      <c r="L518" s="116"/>
      <c r="M518" s="116"/>
      <c r="N518" s="116"/>
      <c r="O518" s="116"/>
      <c r="P518" s="116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</row>
    <row r="519" customFormat="false" ht="16.5" hidden="true" customHeight="true" outlineLevel="0" collapsed="false">
      <c r="A519" s="102"/>
      <c r="B519" s="117" t="s">
        <v>877</v>
      </c>
      <c r="C519" s="111"/>
      <c r="D519" s="118" t="s">
        <v>394</v>
      </c>
      <c r="E519" s="113" t="s">
        <v>75</v>
      </c>
      <c r="F519" s="119" t="n">
        <v>0</v>
      </c>
      <c r="G519" s="119" t="n">
        <v>0</v>
      </c>
      <c r="H519" s="115" t="n">
        <f aca="false">IFERROR(SUM($F519:$G519),"")</f>
        <v>0</v>
      </c>
      <c r="J519" s="116"/>
      <c r="K519" s="116"/>
      <c r="L519" s="116"/>
      <c r="M519" s="116"/>
      <c r="N519" s="116"/>
      <c r="O519" s="116"/>
      <c r="P519" s="116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</row>
    <row r="520" customFormat="false" ht="16.5" hidden="true" customHeight="true" outlineLevel="0" collapsed="false">
      <c r="A520" s="102"/>
      <c r="B520" s="117" t="s">
        <v>878</v>
      </c>
      <c r="C520" s="111"/>
      <c r="D520" s="118" t="s">
        <v>396</v>
      </c>
      <c r="E520" s="113" t="s">
        <v>75</v>
      </c>
      <c r="F520" s="119" t="n">
        <v>0</v>
      </c>
      <c r="G520" s="119" t="n">
        <v>0</v>
      </c>
      <c r="H520" s="115" t="n">
        <f aca="false">IFERROR(SUM($F520:$G520),"")</f>
        <v>0</v>
      </c>
      <c r="J520" s="116"/>
      <c r="K520" s="116"/>
      <c r="L520" s="116"/>
      <c r="M520" s="116"/>
      <c r="N520" s="116"/>
      <c r="O520" s="116"/>
      <c r="P520" s="116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</row>
    <row r="521" customFormat="false" ht="16.5" hidden="false" customHeight="true" outlineLevel="0" collapsed="false">
      <c r="A521" s="102"/>
      <c r="B521" s="117" t="s">
        <v>879</v>
      </c>
      <c r="C521" s="111"/>
      <c r="D521" s="118" t="s">
        <v>398</v>
      </c>
      <c r="E521" s="113" t="s">
        <v>75</v>
      </c>
      <c r="F521" s="119" t="n">
        <v>22191</v>
      </c>
      <c r="G521" s="119" t="n">
        <v>0</v>
      </c>
      <c r="H521" s="115" t="n">
        <f aca="false">IFERROR(SUM($F521:$G521),"")</f>
        <v>22191</v>
      </c>
      <c r="J521" s="120" t="n">
        <v>0.05</v>
      </c>
      <c r="K521" s="121" t="n">
        <f aca="false">+$H521*J521</f>
        <v>1109.55</v>
      </c>
      <c r="L521" s="122" t="n">
        <v>0.25</v>
      </c>
      <c r="M521" s="122" t="n">
        <v>1.5</v>
      </c>
      <c r="N521" s="121" t="n">
        <f aca="false">+$H521*L521</f>
        <v>5547.75</v>
      </c>
      <c r="O521" s="121" t="n">
        <f aca="false">+$H521*M521</f>
        <v>33286.5</v>
      </c>
      <c r="P521" s="121" t="n">
        <f aca="false">+SUM(N521:O521)</f>
        <v>38834.25</v>
      </c>
      <c r="R521" s="109"/>
      <c r="S521" s="109" t="n">
        <f aca="false">+R521*$H521</f>
        <v>0</v>
      </c>
      <c r="T521" s="109"/>
      <c r="U521" s="109" t="n">
        <f aca="false">+T521*$H521</f>
        <v>0</v>
      </c>
      <c r="V521" s="109" t="n">
        <f aca="false">+T521*$V$11</f>
        <v>0</v>
      </c>
      <c r="W521" s="109" t="n">
        <f aca="false">+V521*$H521</f>
        <v>0</v>
      </c>
      <c r="X521" s="109"/>
      <c r="Y521" s="109" t="n">
        <f aca="false">+X521*$H521</f>
        <v>0</v>
      </c>
      <c r="Z521" s="109"/>
      <c r="AA521" s="109" t="n">
        <f aca="false">+Z521*$H521</f>
        <v>0</v>
      </c>
      <c r="AB521" s="109"/>
      <c r="AC521" s="109" t="n">
        <f aca="false">+AB521*$H521</f>
        <v>0</v>
      </c>
      <c r="AD521" s="109" t="n">
        <f aca="false">+R521+V521+X521+Z521+AB521</f>
        <v>0</v>
      </c>
      <c r="AE521" s="109" t="n">
        <f aca="false">+AD521*$H521</f>
        <v>0</v>
      </c>
    </row>
    <row r="522" customFormat="false" ht="16.5" hidden="true" customHeight="true" outlineLevel="0" collapsed="false">
      <c r="A522" s="102"/>
      <c r="B522" s="117" t="s">
        <v>880</v>
      </c>
      <c r="C522" s="111"/>
      <c r="D522" s="118" t="s">
        <v>400</v>
      </c>
      <c r="E522" s="113" t="s">
        <v>75</v>
      </c>
      <c r="F522" s="119" t="n">
        <v>0</v>
      </c>
      <c r="G522" s="119" t="n">
        <v>0</v>
      </c>
      <c r="H522" s="115" t="n">
        <f aca="false">IFERROR(SUM($F522:$G522),"")</f>
        <v>0</v>
      </c>
      <c r="J522" s="116"/>
      <c r="K522" s="116"/>
      <c r="L522" s="116"/>
      <c r="M522" s="116"/>
      <c r="N522" s="116"/>
      <c r="O522" s="116"/>
      <c r="P522" s="116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</row>
    <row r="523" s="215" customFormat="true" ht="16.5" hidden="false" customHeight="true" outlineLevel="0" collapsed="false">
      <c r="A523" s="231"/>
      <c r="B523" s="209" t="s">
        <v>881</v>
      </c>
      <c r="C523" s="210"/>
      <c r="D523" s="211" t="s">
        <v>402</v>
      </c>
      <c r="E523" s="212" t="s">
        <v>75</v>
      </c>
      <c r="F523" s="213" t="n">
        <v>46562</v>
      </c>
      <c r="G523" s="213" t="n">
        <v>58</v>
      </c>
      <c r="H523" s="214" t="n">
        <f aca="false">IFERROR(SUM($F523:$G523),"")</f>
        <v>46620</v>
      </c>
      <c r="J523" s="216" t="n">
        <v>0.065</v>
      </c>
      <c r="K523" s="217" t="n">
        <f aca="false">+$H523*J523</f>
        <v>3030.3</v>
      </c>
      <c r="L523" s="217" t="n">
        <v>0.33</v>
      </c>
      <c r="M523" s="217" t="n">
        <v>3.83</v>
      </c>
      <c r="N523" s="217" t="n">
        <f aca="false">+$H523*L523</f>
        <v>15384.6</v>
      </c>
      <c r="O523" s="217" t="n">
        <f aca="false">+$H523*M523</f>
        <v>178554.6</v>
      </c>
      <c r="P523" s="217" t="n">
        <f aca="false">+SUM(N523:O523)</f>
        <v>193939.2</v>
      </c>
      <c r="R523" s="218" t="n">
        <v>0</v>
      </c>
      <c r="S523" s="218" t="n">
        <f aca="false">+R523*$H523</f>
        <v>0</v>
      </c>
      <c r="T523" s="218" t="n">
        <v>0.2</v>
      </c>
      <c r="U523" s="218" t="n">
        <f aca="false">+T523*$H523</f>
        <v>9324</v>
      </c>
      <c r="V523" s="218" t="n">
        <f aca="false">+T523*$V$11</f>
        <v>1</v>
      </c>
      <c r="W523" s="218" t="n">
        <f aca="false">+V523*$H523</f>
        <v>46620</v>
      </c>
      <c r="X523" s="218" t="n">
        <v>1</v>
      </c>
      <c r="Y523" s="218" t="n">
        <f aca="false">+X523*$H523</f>
        <v>46620</v>
      </c>
      <c r="Z523" s="218" t="n">
        <v>0.23</v>
      </c>
      <c r="AA523" s="218" t="n">
        <f aca="false">+Z523*$H523</f>
        <v>10722.6</v>
      </c>
      <c r="AB523" s="218"/>
      <c r="AC523" s="218" t="n">
        <f aca="false">+AB523*$H523</f>
        <v>0</v>
      </c>
      <c r="AD523" s="218" t="n">
        <f aca="false">+R523+V523+X523+Z523+AB523</f>
        <v>2.23</v>
      </c>
      <c r="AE523" s="218" t="n">
        <f aca="false">+AD523*$H523</f>
        <v>103962.6</v>
      </c>
    </row>
    <row r="524" customFormat="false" ht="16.5" hidden="true" customHeight="true" outlineLevel="0" collapsed="false">
      <c r="A524" s="102"/>
      <c r="B524" s="117" t="s">
        <v>882</v>
      </c>
      <c r="C524" s="111"/>
      <c r="D524" s="118" t="s">
        <v>404</v>
      </c>
      <c r="E524" s="113" t="s">
        <v>75</v>
      </c>
      <c r="F524" s="119" t="n">
        <v>0</v>
      </c>
      <c r="G524" s="119" t="n">
        <v>0</v>
      </c>
      <c r="H524" s="115" t="n">
        <f aca="false">IFERROR(SUM($F524:$G524),"")</f>
        <v>0</v>
      </c>
      <c r="J524" s="116"/>
      <c r="K524" s="116"/>
      <c r="L524" s="116"/>
      <c r="M524" s="116"/>
      <c r="N524" s="116"/>
      <c r="O524" s="116"/>
      <c r="P524" s="116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</row>
    <row r="525" customFormat="false" ht="16.5" hidden="false" customHeight="true" outlineLevel="0" collapsed="false">
      <c r="A525" s="102"/>
      <c r="B525" s="117" t="s">
        <v>883</v>
      </c>
      <c r="C525" s="111"/>
      <c r="D525" s="118" t="s">
        <v>406</v>
      </c>
      <c r="E525" s="113" t="s">
        <v>75</v>
      </c>
      <c r="F525" s="119" t="n">
        <v>0</v>
      </c>
      <c r="G525" s="119" t="n">
        <v>172</v>
      </c>
      <c r="H525" s="115" t="n">
        <f aca="false">IFERROR(SUM($F525:$G525),"")</f>
        <v>172</v>
      </c>
      <c r="J525" s="120" t="n">
        <v>0.08</v>
      </c>
      <c r="K525" s="121" t="n">
        <f aca="false">+$H525*J525</f>
        <v>13.76</v>
      </c>
      <c r="L525" s="122" t="n">
        <v>0.4</v>
      </c>
      <c r="M525" s="122" t="n">
        <v>9.44</v>
      </c>
      <c r="N525" s="121" t="n">
        <f aca="false">+$H525*L525</f>
        <v>68.8</v>
      </c>
      <c r="O525" s="121" t="n">
        <f aca="false">+$H525*M525</f>
        <v>1623.68</v>
      </c>
      <c r="P525" s="121" t="n">
        <f aca="false">+SUM(N525:O525)</f>
        <v>1692.48</v>
      </c>
      <c r="R525" s="109"/>
      <c r="S525" s="109" t="n">
        <f aca="false">+R525*$H525</f>
        <v>0</v>
      </c>
      <c r="T525" s="109"/>
      <c r="U525" s="109" t="n">
        <f aca="false">+T525*$H525</f>
        <v>0</v>
      </c>
      <c r="V525" s="109" t="n">
        <f aca="false">+T525*$V$11</f>
        <v>0</v>
      </c>
      <c r="W525" s="109" t="n">
        <f aca="false">+V525*$H525</f>
        <v>0</v>
      </c>
      <c r="X525" s="109"/>
      <c r="Y525" s="109" t="n">
        <f aca="false">+X525*$H525</f>
        <v>0</v>
      </c>
      <c r="Z525" s="109"/>
      <c r="AA525" s="109" t="n">
        <f aca="false">+Z525*$H525</f>
        <v>0</v>
      </c>
      <c r="AB525" s="109"/>
      <c r="AC525" s="109" t="n">
        <f aca="false">+AB525*$H525</f>
        <v>0</v>
      </c>
      <c r="AD525" s="109" t="n">
        <f aca="false">+R525+V525+X525+Z525+AB525</f>
        <v>0</v>
      </c>
      <c r="AE525" s="109" t="n">
        <f aca="false">+AD525*$H525</f>
        <v>0</v>
      </c>
    </row>
    <row r="526" customFormat="false" ht="16.5" hidden="true" customHeight="true" outlineLevel="0" collapsed="false">
      <c r="A526" s="102"/>
      <c r="B526" s="117" t="s">
        <v>884</v>
      </c>
      <c r="C526" s="111"/>
      <c r="D526" s="118" t="s">
        <v>408</v>
      </c>
      <c r="E526" s="113" t="s">
        <v>75</v>
      </c>
      <c r="F526" s="119" t="n">
        <v>0</v>
      </c>
      <c r="G526" s="119" t="n">
        <v>0</v>
      </c>
      <c r="H526" s="115" t="n">
        <f aca="false">IFERROR(SUM($F526:$G526),"")</f>
        <v>0</v>
      </c>
      <c r="J526" s="116"/>
      <c r="K526" s="116"/>
      <c r="L526" s="116"/>
      <c r="M526" s="116"/>
      <c r="N526" s="116"/>
      <c r="O526" s="116"/>
      <c r="P526" s="116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</row>
    <row r="527" customFormat="false" ht="16.5" hidden="true" customHeight="true" outlineLevel="0" collapsed="false">
      <c r="A527" s="102"/>
      <c r="B527" s="117" t="s">
        <v>885</v>
      </c>
      <c r="C527" s="111"/>
      <c r="D527" s="118" t="s">
        <v>410</v>
      </c>
      <c r="E527" s="113" t="s">
        <v>75</v>
      </c>
      <c r="F527" s="119" t="n">
        <v>0</v>
      </c>
      <c r="G527" s="119" t="n">
        <v>0</v>
      </c>
      <c r="H527" s="115" t="n">
        <f aca="false">IFERROR(SUM($F527:$G527),"")</f>
        <v>0</v>
      </c>
      <c r="J527" s="116"/>
      <c r="K527" s="116"/>
      <c r="L527" s="116"/>
      <c r="M527" s="116"/>
      <c r="N527" s="116"/>
      <c r="O527" s="116"/>
      <c r="P527" s="116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</row>
    <row r="528" customFormat="false" ht="16.5" hidden="true" customHeight="true" outlineLevel="0" collapsed="false">
      <c r="A528" s="102"/>
      <c r="B528" s="117" t="s">
        <v>886</v>
      </c>
      <c r="C528" s="111"/>
      <c r="D528" s="118" t="s">
        <v>412</v>
      </c>
      <c r="E528" s="113" t="s">
        <v>75</v>
      </c>
      <c r="F528" s="119" t="n">
        <v>0</v>
      </c>
      <c r="G528" s="119" t="n">
        <v>0</v>
      </c>
      <c r="H528" s="115" t="n">
        <f aca="false">IFERROR(SUM($F528:$G528),"")</f>
        <v>0</v>
      </c>
      <c r="J528" s="116"/>
      <c r="K528" s="116"/>
      <c r="L528" s="116"/>
      <c r="M528" s="116"/>
      <c r="N528" s="116"/>
      <c r="O528" s="116"/>
      <c r="P528" s="116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</row>
    <row r="529" customFormat="false" ht="16.5" hidden="true" customHeight="true" outlineLevel="0" collapsed="false">
      <c r="A529" s="102"/>
      <c r="B529" s="117" t="s">
        <v>887</v>
      </c>
      <c r="C529" s="111"/>
      <c r="D529" s="118" t="s">
        <v>414</v>
      </c>
      <c r="E529" s="113" t="s">
        <v>75</v>
      </c>
      <c r="F529" s="119" t="n">
        <v>0</v>
      </c>
      <c r="G529" s="119" t="n">
        <v>0</v>
      </c>
      <c r="H529" s="115" t="n">
        <f aca="false">IFERROR(SUM($F529:$G529),"")</f>
        <v>0</v>
      </c>
      <c r="J529" s="116"/>
      <c r="K529" s="116"/>
      <c r="L529" s="116"/>
      <c r="M529" s="116"/>
      <c r="N529" s="116"/>
      <c r="O529" s="116"/>
      <c r="P529" s="116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</row>
    <row r="530" customFormat="false" ht="16.5" hidden="true" customHeight="true" outlineLevel="0" collapsed="false">
      <c r="A530" s="102"/>
      <c r="B530" s="117" t="s">
        <v>888</v>
      </c>
      <c r="C530" s="111"/>
      <c r="D530" s="163" t="s">
        <v>416</v>
      </c>
      <c r="E530" s="113" t="s">
        <v>75</v>
      </c>
      <c r="F530" s="119" t="n">
        <v>0</v>
      </c>
      <c r="G530" s="119" t="n">
        <v>0</v>
      </c>
      <c r="H530" s="115" t="n">
        <f aca="false">IFERROR(SUM($F530:$G530),"")</f>
        <v>0</v>
      </c>
      <c r="J530" s="116"/>
      <c r="K530" s="116"/>
      <c r="L530" s="116"/>
      <c r="M530" s="116"/>
      <c r="N530" s="116"/>
      <c r="O530" s="116"/>
      <c r="P530" s="116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</row>
    <row r="531" customFormat="false" ht="16.5" hidden="false" customHeight="true" outlineLevel="0" collapsed="false">
      <c r="A531" s="102"/>
      <c r="B531" s="117" t="s">
        <v>889</v>
      </c>
      <c r="C531" s="111"/>
      <c r="D531" s="163" t="s">
        <v>418</v>
      </c>
      <c r="E531" s="113" t="s">
        <v>75</v>
      </c>
      <c r="F531" s="119" t="n">
        <v>6298</v>
      </c>
      <c r="G531" s="119" t="n">
        <v>0</v>
      </c>
      <c r="H531" s="115" t="n">
        <f aca="false">IFERROR(SUM($F531:$G531),"")</f>
        <v>6298</v>
      </c>
      <c r="J531" s="120" t="n">
        <v>0.065</v>
      </c>
      <c r="K531" s="121" t="n">
        <f aca="false">+$H531*J531</f>
        <v>409.37</v>
      </c>
      <c r="L531" s="122" t="n">
        <v>0.33</v>
      </c>
      <c r="M531" s="122" t="n">
        <v>4.5</v>
      </c>
      <c r="N531" s="121" t="n">
        <f aca="false">+$H531*L531</f>
        <v>2078.34</v>
      </c>
      <c r="O531" s="121" t="n">
        <f aca="false">+$H531*M531</f>
        <v>28341</v>
      </c>
      <c r="P531" s="121" t="n">
        <f aca="false">+SUM(N531:O531)</f>
        <v>30419.34</v>
      </c>
      <c r="R531" s="109"/>
      <c r="S531" s="109" t="n">
        <f aca="false">+R531*$H531</f>
        <v>0</v>
      </c>
      <c r="T531" s="109"/>
      <c r="U531" s="109" t="n">
        <f aca="false">+T531*$H531</f>
        <v>0</v>
      </c>
      <c r="V531" s="109" t="n">
        <f aca="false">+T531*$V$11</f>
        <v>0</v>
      </c>
      <c r="W531" s="109" t="n">
        <f aca="false">+V531*$H531</f>
        <v>0</v>
      </c>
      <c r="X531" s="109"/>
      <c r="Y531" s="109" t="n">
        <f aca="false">+X531*$H531</f>
        <v>0</v>
      </c>
      <c r="Z531" s="109"/>
      <c r="AA531" s="109" t="n">
        <f aca="false">+Z531*$H531</f>
        <v>0</v>
      </c>
      <c r="AB531" s="109"/>
      <c r="AC531" s="109" t="n">
        <f aca="false">+AB531*$H531</f>
        <v>0</v>
      </c>
      <c r="AD531" s="109" t="n">
        <f aca="false">+R531+V531+X531+Z531+AB531</f>
        <v>0</v>
      </c>
      <c r="AE531" s="109" t="n">
        <f aca="false">+AD531*$H531</f>
        <v>0</v>
      </c>
    </row>
    <row r="532" customFormat="false" ht="16.5" hidden="true" customHeight="true" outlineLevel="0" collapsed="false">
      <c r="A532" s="102"/>
      <c r="B532" s="117" t="s">
        <v>890</v>
      </c>
      <c r="C532" s="111"/>
      <c r="D532" s="118" t="s">
        <v>420</v>
      </c>
      <c r="E532" s="113" t="s">
        <v>75</v>
      </c>
      <c r="F532" s="119" t="n">
        <v>0</v>
      </c>
      <c r="G532" s="119" t="n">
        <v>0</v>
      </c>
      <c r="H532" s="115" t="n">
        <f aca="false">IFERROR(SUM($F532:$G532),"")</f>
        <v>0</v>
      </c>
      <c r="J532" s="116"/>
      <c r="K532" s="116"/>
      <c r="L532" s="116"/>
      <c r="M532" s="116"/>
      <c r="N532" s="116"/>
      <c r="O532" s="116"/>
      <c r="P532" s="116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</row>
    <row r="533" customFormat="false" ht="16.5" hidden="true" customHeight="true" outlineLevel="0" collapsed="false">
      <c r="A533" s="102"/>
      <c r="B533" s="117" t="s">
        <v>891</v>
      </c>
      <c r="C533" s="111"/>
      <c r="D533" s="118" t="s">
        <v>422</v>
      </c>
      <c r="E533" s="113" t="s">
        <v>75</v>
      </c>
      <c r="F533" s="119" t="n">
        <v>0</v>
      </c>
      <c r="G533" s="119" t="n">
        <v>0</v>
      </c>
      <c r="H533" s="115" t="n">
        <f aca="false">IFERROR(SUM($F533:$G533),"")</f>
        <v>0</v>
      </c>
      <c r="J533" s="116"/>
      <c r="K533" s="116"/>
      <c r="L533" s="116"/>
      <c r="M533" s="116"/>
      <c r="N533" s="116"/>
      <c r="O533" s="116"/>
      <c r="P533" s="116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</row>
    <row r="534" customFormat="false" ht="16.5" hidden="true" customHeight="true" outlineLevel="0" collapsed="false">
      <c r="A534" s="102"/>
      <c r="B534" s="117" t="s">
        <v>892</v>
      </c>
      <c r="C534" s="111"/>
      <c r="D534" s="163" t="s">
        <v>424</v>
      </c>
      <c r="E534" s="113" t="s">
        <v>75</v>
      </c>
      <c r="F534" s="119" t="n">
        <v>0</v>
      </c>
      <c r="G534" s="119" t="n">
        <v>0</v>
      </c>
      <c r="H534" s="115" t="n">
        <f aca="false">IFERROR(SUM($F534:$G534),"")</f>
        <v>0</v>
      </c>
      <c r="J534" s="116"/>
      <c r="K534" s="116"/>
      <c r="L534" s="116"/>
      <c r="M534" s="116"/>
      <c r="N534" s="116"/>
      <c r="O534" s="116"/>
      <c r="P534" s="116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</row>
    <row r="535" customFormat="false" ht="16.5" hidden="true" customHeight="true" outlineLevel="0" collapsed="false">
      <c r="A535" s="102"/>
      <c r="B535" s="117" t="s">
        <v>893</v>
      </c>
      <c r="C535" s="111"/>
      <c r="D535" s="163" t="s">
        <v>426</v>
      </c>
      <c r="E535" s="113" t="s">
        <v>75</v>
      </c>
      <c r="F535" s="119" t="n">
        <v>0</v>
      </c>
      <c r="G535" s="119" t="n">
        <v>0</v>
      </c>
      <c r="H535" s="115" t="n">
        <f aca="false">IFERROR(SUM($F535:$G535),"")</f>
        <v>0</v>
      </c>
      <c r="J535" s="116"/>
      <c r="K535" s="116"/>
      <c r="L535" s="116"/>
      <c r="M535" s="116"/>
      <c r="N535" s="116"/>
      <c r="O535" s="116"/>
      <c r="P535" s="116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</row>
    <row r="536" customFormat="false" ht="16.5" hidden="true" customHeight="true" outlineLevel="0" collapsed="false">
      <c r="A536" s="102"/>
      <c r="B536" s="117" t="s">
        <v>894</v>
      </c>
      <c r="C536" s="111"/>
      <c r="D536" s="118" t="s">
        <v>428</v>
      </c>
      <c r="E536" s="113" t="s">
        <v>75</v>
      </c>
      <c r="F536" s="119" t="n">
        <v>0</v>
      </c>
      <c r="G536" s="119" t="n">
        <v>0</v>
      </c>
      <c r="H536" s="115" t="n">
        <f aca="false">IFERROR(SUM($F536:$G536),"")</f>
        <v>0</v>
      </c>
      <c r="J536" s="116"/>
      <c r="K536" s="116"/>
      <c r="L536" s="116"/>
      <c r="M536" s="116"/>
      <c r="N536" s="116"/>
      <c r="O536" s="116"/>
      <c r="P536" s="116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</row>
    <row r="537" customFormat="false" ht="16.5" hidden="true" customHeight="true" outlineLevel="0" collapsed="false">
      <c r="A537" s="102"/>
      <c r="B537" s="117" t="s">
        <v>895</v>
      </c>
      <c r="C537" s="111"/>
      <c r="D537" s="118" t="s">
        <v>430</v>
      </c>
      <c r="E537" s="113" t="s">
        <v>75</v>
      </c>
      <c r="F537" s="119" t="n">
        <v>0</v>
      </c>
      <c r="G537" s="119" t="n">
        <v>0</v>
      </c>
      <c r="H537" s="115" t="n">
        <f aca="false">IFERROR(SUM($F537:$G537),"")</f>
        <v>0</v>
      </c>
      <c r="J537" s="116"/>
      <c r="K537" s="116"/>
      <c r="L537" s="116"/>
      <c r="M537" s="116"/>
      <c r="N537" s="116"/>
      <c r="O537" s="116"/>
      <c r="P537" s="116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</row>
    <row r="538" customFormat="false" ht="16.5" hidden="true" customHeight="true" outlineLevel="0" collapsed="false">
      <c r="A538" s="102"/>
      <c r="B538" s="117" t="s">
        <v>896</v>
      </c>
      <c r="C538" s="111"/>
      <c r="D538" s="118" t="s">
        <v>432</v>
      </c>
      <c r="E538" s="113" t="s">
        <v>75</v>
      </c>
      <c r="F538" s="119" t="n">
        <v>0</v>
      </c>
      <c r="G538" s="119" t="n">
        <v>0</v>
      </c>
      <c r="H538" s="115" t="n">
        <f aca="false">IFERROR(SUM($F538:$G538),"")</f>
        <v>0</v>
      </c>
      <c r="J538" s="116"/>
      <c r="K538" s="116"/>
      <c r="L538" s="116"/>
      <c r="M538" s="116"/>
      <c r="N538" s="116"/>
      <c r="O538" s="116"/>
      <c r="P538" s="116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</row>
    <row r="539" customFormat="false" ht="16.5" hidden="true" customHeight="true" outlineLevel="0" collapsed="false">
      <c r="A539" s="102"/>
      <c r="B539" s="117" t="s">
        <v>897</v>
      </c>
      <c r="C539" s="111"/>
      <c r="D539" s="118" t="s">
        <v>434</v>
      </c>
      <c r="E539" s="113" t="s">
        <v>75</v>
      </c>
      <c r="F539" s="119" t="n">
        <v>0</v>
      </c>
      <c r="G539" s="119" t="n">
        <v>0</v>
      </c>
      <c r="H539" s="115" t="n">
        <f aca="false">IFERROR(SUM($F539:$G539),"")</f>
        <v>0</v>
      </c>
      <c r="J539" s="116"/>
      <c r="K539" s="116"/>
      <c r="L539" s="116"/>
      <c r="M539" s="116"/>
      <c r="N539" s="116"/>
      <c r="O539" s="116"/>
      <c r="P539" s="116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</row>
    <row r="540" customFormat="false" ht="16.5" hidden="true" customHeight="true" outlineLevel="0" collapsed="false">
      <c r="A540" s="102"/>
      <c r="B540" s="117" t="s">
        <v>898</v>
      </c>
      <c r="C540" s="111"/>
      <c r="D540" s="118" t="s">
        <v>436</v>
      </c>
      <c r="E540" s="113" t="s">
        <v>75</v>
      </c>
      <c r="F540" s="119" t="n">
        <v>0</v>
      </c>
      <c r="G540" s="119" t="n">
        <v>0</v>
      </c>
      <c r="H540" s="115" t="n">
        <f aca="false">IFERROR(SUM($F540:$G540),"")</f>
        <v>0</v>
      </c>
      <c r="J540" s="116"/>
      <c r="K540" s="116"/>
      <c r="L540" s="116"/>
      <c r="M540" s="116"/>
      <c r="N540" s="116"/>
      <c r="O540" s="116"/>
      <c r="P540" s="116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</row>
    <row r="541" customFormat="false" ht="16.5" hidden="true" customHeight="true" outlineLevel="0" collapsed="false">
      <c r="A541" s="102"/>
      <c r="B541" s="117" t="s">
        <v>899</v>
      </c>
      <c r="C541" s="111"/>
      <c r="D541" s="118" t="s">
        <v>438</v>
      </c>
      <c r="E541" s="113" t="s">
        <v>75</v>
      </c>
      <c r="F541" s="119" t="n">
        <v>0</v>
      </c>
      <c r="G541" s="119" t="n">
        <v>0</v>
      </c>
      <c r="H541" s="115" t="n">
        <f aca="false">IFERROR(SUM($F541:$G541),"")</f>
        <v>0</v>
      </c>
      <c r="J541" s="116"/>
      <c r="K541" s="116"/>
      <c r="L541" s="116"/>
      <c r="M541" s="116"/>
      <c r="N541" s="116"/>
      <c r="O541" s="116"/>
      <c r="P541" s="116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</row>
    <row r="542" customFormat="false" ht="16.5" hidden="false" customHeight="true" outlineLevel="0" collapsed="false">
      <c r="A542" s="102"/>
      <c r="B542" s="110" t="s">
        <v>900</v>
      </c>
      <c r="C542" s="111"/>
      <c r="D542" s="219" t="s">
        <v>901</v>
      </c>
      <c r="E542" s="113"/>
      <c r="F542" s="119" t="n">
        <v>0</v>
      </c>
      <c r="G542" s="119" t="n">
        <v>0</v>
      </c>
      <c r="H542" s="115" t="n">
        <f aca="false">IFERROR(SUM($F542:$G542),"")</f>
        <v>0</v>
      </c>
      <c r="J542" s="116"/>
      <c r="K542" s="116"/>
      <c r="L542" s="116"/>
      <c r="M542" s="116"/>
      <c r="N542" s="116"/>
      <c r="O542" s="116"/>
      <c r="P542" s="116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</row>
    <row r="543" customFormat="false" ht="16.5" hidden="true" customHeight="true" outlineLevel="0" collapsed="false">
      <c r="A543" s="102"/>
      <c r="B543" s="117" t="s">
        <v>902</v>
      </c>
      <c r="C543" s="111"/>
      <c r="D543" s="118" t="s">
        <v>442</v>
      </c>
      <c r="E543" s="113" t="s">
        <v>85</v>
      </c>
      <c r="F543" s="119" t="n">
        <v>0</v>
      </c>
      <c r="G543" s="119" t="n">
        <v>0</v>
      </c>
      <c r="H543" s="115" t="n">
        <f aca="false">IFERROR(SUM($F543:$G543),"")</f>
        <v>0</v>
      </c>
      <c r="J543" s="116"/>
      <c r="K543" s="116"/>
      <c r="L543" s="116"/>
      <c r="M543" s="116"/>
      <c r="N543" s="116"/>
      <c r="O543" s="116"/>
      <c r="P543" s="116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</row>
    <row r="544" customFormat="false" ht="16.5" hidden="true" customHeight="true" outlineLevel="0" collapsed="false">
      <c r="A544" s="102"/>
      <c r="B544" s="117" t="s">
        <v>903</v>
      </c>
      <c r="C544" s="111"/>
      <c r="D544" s="118" t="s">
        <v>444</v>
      </c>
      <c r="E544" s="113" t="s">
        <v>85</v>
      </c>
      <c r="F544" s="119" t="n">
        <v>0</v>
      </c>
      <c r="G544" s="119" t="n">
        <v>0</v>
      </c>
      <c r="H544" s="115" t="n">
        <f aca="false">IFERROR(SUM($F544:$G544),"")</f>
        <v>0</v>
      </c>
      <c r="J544" s="116"/>
      <c r="K544" s="116"/>
      <c r="L544" s="116"/>
      <c r="M544" s="116"/>
      <c r="N544" s="116"/>
      <c r="O544" s="116"/>
      <c r="P544" s="116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</row>
    <row r="545" customFormat="false" ht="16.5" hidden="true" customHeight="true" outlineLevel="0" collapsed="false">
      <c r="A545" s="102"/>
      <c r="B545" s="117" t="s">
        <v>904</v>
      </c>
      <c r="C545" s="111"/>
      <c r="D545" s="118" t="s">
        <v>446</v>
      </c>
      <c r="E545" s="113" t="s">
        <v>85</v>
      </c>
      <c r="F545" s="119" t="n">
        <v>0</v>
      </c>
      <c r="G545" s="119" t="n">
        <v>0</v>
      </c>
      <c r="H545" s="115" t="n">
        <f aca="false">IFERROR(SUM($F545:$G545),"")</f>
        <v>0</v>
      </c>
      <c r="J545" s="116"/>
      <c r="K545" s="116"/>
      <c r="L545" s="116"/>
      <c r="M545" s="116"/>
      <c r="N545" s="116"/>
      <c r="O545" s="116"/>
      <c r="P545" s="116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</row>
    <row r="546" customFormat="false" ht="16.5" hidden="false" customHeight="true" outlineLevel="0" collapsed="false">
      <c r="A546" s="102"/>
      <c r="B546" s="117" t="s">
        <v>905</v>
      </c>
      <c r="C546" s="111"/>
      <c r="D546" s="118" t="s">
        <v>448</v>
      </c>
      <c r="E546" s="113" t="s">
        <v>85</v>
      </c>
      <c r="F546" s="119" t="n">
        <v>37</v>
      </c>
      <c r="G546" s="119" t="n">
        <v>0</v>
      </c>
      <c r="H546" s="115" t="n">
        <f aca="false">IFERROR(SUM($F546:$G546),"")</f>
        <v>37</v>
      </c>
      <c r="J546" s="120" t="n">
        <v>4.8</v>
      </c>
      <c r="K546" s="121" t="n">
        <f aca="false">+$H546*J546</f>
        <v>177.6</v>
      </c>
      <c r="L546" s="122" t="n">
        <v>24</v>
      </c>
      <c r="M546" s="122" t="n">
        <v>35</v>
      </c>
      <c r="N546" s="121" t="n">
        <f aca="false">+$H546*L546</f>
        <v>888</v>
      </c>
      <c r="O546" s="121" t="n">
        <f aca="false">+$H546*M546</f>
        <v>1295</v>
      </c>
      <c r="P546" s="121" t="n">
        <f aca="false">+SUM(N546:O546)</f>
        <v>2183</v>
      </c>
      <c r="R546" s="109"/>
      <c r="S546" s="109" t="n">
        <f aca="false">+R546*$H546</f>
        <v>0</v>
      </c>
      <c r="T546" s="109"/>
      <c r="U546" s="109" t="n">
        <f aca="false">+T546*$H546</f>
        <v>0</v>
      </c>
      <c r="V546" s="109" t="n">
        <f aca="false">+T546*$V$11</f>
        <v>0</v>
      </c>
      <c r="W546" s="109" t="n">
        <f aca="false">+V546*$H546</f>
        <v>0</v>
      </c>
      <c r="X546" s="109"/>
      <c r="Y546" s="109" t="n">
        <f aca="false">+X546*$H546</f>
        <v>0</v>
      </c>
      <c r="Z546" s="109"/>
      <c r="AA546" s="109" t="n">
        <f aca="false">+Z546*$H546</f>
        <v>0</v>
      </c>
      <c r="AB546" s="109"/>
      <c r="AC546" s="109" t="n">
        <f aca="false">+AB546*$H546</f>
        <v>0</v>
      </c>
      <c r="AD546" s="109" t="n">
        <f aca="false">+R546+V546+X546+Z546+AB546</f>
        <v>0</v>
      </c>
      <c r="AE546" s="109" t="n">
        <f aca="false">+AD546*$H546</f>
        <v>0</v>
      </c>
    </row>
    <row r="547" customFormat="false" ht="16.5" hidden="true" customHeight="true" outlineLevel="0" collapsed="false">
      <c r="A547" s="102"/>
      <c r="B547" s="117" t="s">
        <v>906</v>
      </c>
      <c r="C547" s="111"/>
      <c r="D547" s="118" t="s">
        <v>450</v>
      </c>
      <c r="E547" s="113" t="s">
        <v>85</v>
      </c>
      <c r="F547" s="119" t="n">
        <v>0</v>
      </c>
      <c r="G547" s="119" t="n">
        <v>0</v>
      </c>
      <c r="H547" s="115" t="n">
        <f aca="false">IFERROR(SUM($F547:$G547),"")</f>
        <v>0</v>
      </c>
      <c r="J547" s="116"/>
      <c r="K547" s="116"/>
      <c r="L547" s="116"/>
      <c r="M547" s="116"/>
      <c r="N547" s="116"/>
      <c r="O547" s="116"/>
      <c r="P547" s="116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</row>
    <row r="548" customFormat="false" ht="16.5" hidden="true" customHeight="true" outlineLevel="0" collapsed="false">
      <c r="A548" s="150"/>
      <c r="B548" s="117" t="s">
        <v>907</v>
      </c>
      <c r="C548" s="111"/>
      <c r="D548" s="118" t="s">
        <v>452</v>
      </c>
      <c r="E548" s="113" t="s">
        <v>85</v>
      </c>
      <c r="F548" s="119" t="n">
        <v>0</v>
      </c>
      <c r="G548" s="119" t="n">
        <v>0</v>
      </c>
      <c r="H548" s="115" t="n">
        <f aca="false">IFERROR(SUM($F548:$G548),"")</f>
        <v>0</v>
      </c>
      <c r="J548" s="116"/>
      <c r="K548" s="116"/>
      <c r="L548" s="116"/>
      <c r="M548" s="116"/>
      <c r="N548" s="116"/>
      <c r="O548" s="116"/>
      <c r="P548" s="116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</row>
    <row r="549" customFormat="false" ht="16.5" hidden="true" customHeight="true" outlineLevel="0" collapsed="false">
      <c r="A549" s="102"/>
      <c r="B549" s="117" t="s">
        <v>908</v>
      </c>
      <c r="C549" s="111"/>
      <c r="D549" s="118" t="s">
        <v>454</v>
      </c>
      <c r="E549" s="113" t="s">
        <v>85</v>
      </c>
      <c r="F549" s="119" t="n">
        <v>0</v>
      </c>
      <c r="G549" s="119" t="n">
        <v>0</v>
      </c>
      <c r="H549" s="115" t="n">
        <f aca="false">IFERROR(SUM($F549:$G549),"")</f>
        <v>0</v>
      </c>
      <c r="J549" s="116"/>
      <c r="K549" s="116"/>
      <c r="L549" s="116"/>
      <c r="M549" s="116"/>
      <c r="N549" s="116"/>
      <c r="O549" s="116"/>
      <c r="P549" s="116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</row>
    <row r="550" customFormat="false" ht="16.5" hidden="true" customHeight="true" outlineLevel="0" collapsed="false">
      <c r="A550" s="102"/>
      <c r="B550" s="117" t="s">
        <v>909</v>
      </c>
      <c r="C550" s="111"/>
      <c r="D550" s="118" t="s">
        <v>456</v>
      </c>
      <c r="E550" s="113" t="s">
        <v>85</v>
      </c>
      <c r="F550" s="119" t="n">
        <v>0</v>
      </c>
      <c r="G550" s="119" t="n">
        <v>0</v>
      </c>
      <c r="H550" s="115" t="n">
        <f aca="false">IFERROR(SUM($F550:$G550),"")</f>
        <v>0</v>
      </c>
      <c r="J550" s="116"/>
      <c r="K550" s="116"/>
      <c r="L550" s="116"/>
      <c r="M550" s="116"/>
      <c r="N550" s="116"/>
      <c r="O550" s="116"/>
      <c r="P550" s="116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</row>
    <row r="551" customFormat="false" ht="16.5" hidden="true" customHeight="true" outlineLevel="0" collapsed="false">
      <c r="A551" s="102"/>
      <c r="B551" s="117" t="s">
        <v>910</v>
      </c>
      <c r="C551" s="111"/>
      <c r="D551" s="118" t="s">
        <v>458</v>
      </c>
      <c r="E551" s="113" t="s">
        <v>85</v>
      </c>
      <c r="F551" s="119" t="n">
        <v>0</v>
      </c>
      <c r="G551" s="119" t="n">
        <v>0</v>
      </c>
      <c r="H551" s="115" t="n">
        <f aca="false">IFERROR(SUM($F551:$G551),"")</f>
        <v>0</v>
      </c>
      <c r="J551" s="116"/>
      <c r="K551" s="116"/>
      <c r="L551" s="116"/>
      <c r="M551" s="116"/>
      <c r="N551" s="116"/>
      <c r="O551" s="116"/>
      <c r="P551" s="116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</row>
    <row r="552" customFormat="false" ht="16.5" hidden="true" customHeight="true" outlineLevel="0" collapsed="false">
      <c r="A552" s="102"/>
      <c r="B552" s="117" t="s">
        <v>911</v>
      </c>
      <c r="C552" s="111"/>
      <c r="D552" s="118" t="s">
        <v>460</v>
      </c>
      <c r="E552" s="113" t="s">
        <v>85</v>
      </c>
      <c r="F552" s="119" t="n">
        <v>0</v>
      </c>
      <c r="G552" s="119" t="n">
        <v>0</v>
      </c>
      <c r="H552" s="115" t="n">
        <f aca="false">IFERROR(SUM($F552:$G552),"")</f>
        <v>0</v>
      </c>
      <c r="J552" s="116"/>
      <c r="K552" s="116"/>
      <c r="L552" s="116"/>
      <c r="M552" s="116"/>
      <c r="N552" s="116"/>
      <c r="O552" s="116"/>
      <c r="P552" s="116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</row>
    <row r="553" customFormat="false" ht="16.5" hidden="true" customHeight="true" outlineLevel="0" collapsed="false">
      <c r="A553" s="102"/>
      <c r="B553" s="117" t="s">
        <v>912</v>
      </c>
      <c r="C553" s="111"/>
      <c r="D553" s="118" t="s">
        <v>462</v>
      </c>
      <c r="E553" s="113" t="s">
        <v>85</v>
      </c>
      <c r="F553" s="119" t="n">
        <v>0</v>
      </c>
      <c r="G553" s="119" t="n">
        <v>0</v>
      </c>
      <c r="H553" s="115" t="n">
        <f aca="false">IFERROR(SUM($F553:$G553),"")</f>
        <v>0</v>
      </c>
      <c r="J553" s="116"/>
      <c r="K553" s="116"/>
      <c r="L553" s="116"/>
      <c r="M553" s="116"/>
      <c r="N553" s="116"/>
      <c r="O553" s="116"/>
      <c r="P553" s="116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</row>
    <row r="554" customFormat="false" ht="16.5" hidden="true" customHeight="true" outlineLevel="0" collapsed="false">
      <c r="A554" s="102"/>
      <c r="B554" s="117" t="s">
        <v>913</v>
      </c>
      <c r="C554" s="111"/>
      <c r="D554" s="118" t="s">
        <v>464</v>
      </c>
      <c r="E554" s="113" t="s">
        <v>85</v>
      </c>
      <c r="F554" s="119" t="n">
        <v>0</v>
      </c>
      <c r="G554" s="119" t="n">
        <v>0</v>
      </c>
      <c r="H554" s="115" t="n">
        <f aca="false">IFERROR(SUM($F554:$G554),"")</f>
        <v>0</v>
      </c>
      <c r="J554" s="116"/>
      <c r="K554" s="116"/>
      <c r="L554" s="116"/>
      <c r="M554" s="116"/>
      <c r="N554" s="116"/>
      <c r="O554" s="116"/>
      <c r="P554" s="116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</row>
    <row r="555" customFormat="false" ht="16.5" hidden="true" customHeight="true" outlineLevel="0" collapsed="false">
      <c r="A555" s="102"/>
      <c r="B555" s="117" t="s">
        <v>914</v>
      </c>
      <c r="C555" s="111"/>
      <c r="D555" s="118" t="s">
        <v>466</v>
      </c>
      <c r="E555" s="113" t="s">
        <v>85</v>
      </c>
      <c r="F555" s="119" t="n">
        <v>0</v>
      </c>
      <c r="G555" s="119" t="n">
        <v>0</v>
      </c>
      <c r="H555" s="115" t="n">
        <f aca="false">IFERROR(SUM($F555:$G555),"")</f>
        <v>0</v>
      </c>
      <c r="J555" s="116"/>
      <c r="K555" s="116"/>
      <c r="L555" s="116"/>
      <c r="M555" s="116"/>
      <c r="N555" s="116"/>
      <c r="O555" s="116"/>
      <c r="P555" s="116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</row>
    <row r="556" customFormat="false" ht="16.5" hidden="true" customHeight="true" outlineLevel="0" collapsed="false">
      <c r="A556" s="102"/>
      <c r="B556" s="117" t="s">
        <v>915</v>
      </c>
      <c r="C556" s="111"/>
      <c r="D556" s="118" t="s">
        <v>468</v>
      </c>
      <c r="E556" s="113" t="s">
        <v>85</v>
      </c>
      <c r="F556" s="119" t="n">
        <v>0</v>
      </c>
      <c r="G556" s="119" t="n">
        <v>0</v>
      </c>
      <c r="H556" s="115" t="n">
        <f aca="false">IFERROR(SUM($F556:$G556),"")</f>
        <v>0</v>
      </c>
      <c r="J556" s="116"/>
      <c r="K556" s="116"/>
      <c r="L556" s="116"/>
      <c r="M556" s="116"/>
      <c r="N556" s="116"/>
      <c r="O556" s="116"/>
      <c r="P556" s="116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</row>
    <row r="557" customFormat="false" ht="16.5" hidden="true" customHeight="true" outlineLevel="0" collapsed="false">
      <c r="A557" s="102"/>
      <c r="B557" s="117" t="s">
        <v>916</v>
      </c>
      <c r="C557" s="111"/>
      <c r="D557" s="118" t="s">
        <v>470</v>
      </c>
      <c r="E557" s="113" t="s">
        <v>85</v>
      </c>
      <c r="F557" s="119" t="n">
        <v>0</v>
      </c>
      <c r="G557" s="119" t="n">
        <v>0</v>
      </c>
      <c r="H557" s="115" t="n">
        <f aca="false">IFERROR(SUM($F557:$G557),"")</f>
        <v>0</v>
      </c>
      <c r="J557" s="116"/>
      <c r="K557" s="116"/>
      <c r="L557" s="116"/>
      <c r="M557" s="116"/>
      <c r="N557" s="116"/>
      <c r="O557" s="116"/>
      <c r="P557" s="116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</row>
    <row r="558" s="158" customFormat="true" ht="16.5" hidden="false" customHeight="true" outlineLevel="0" collapsed="false">
      <c r="A558" s="220"/>
      <c r="B558" s="152" t="s">
        <v>917</v>
      </c>
      <c r="C558" s="153"/>
      <c r="D558" s="154" t="s">
        <v>472</v>
      </c>
      <c r="E558" s="155" t="s">
        <v>85</v>
      </c>
      <c r="F558" s="156" t="n">
        <v>7</v>
      </c>
      <c r="G558" s="156" t="n">
        <v>0</v>
      </c>
      <c r="H558" s="157" t="n">
        <f aca="false">IFERROR(SUM($F558:$G558),"")</f>
        <v>7</v>
      </c>
      <c r="J558" s="159" t="n">
        <v>0.65</v>
      </c>
      <c r="K558" s="160" t="n">
        <f aca="false">+$H558*J558</f>
        <v>4.55</v>
      </c>
      <c r="L558" s="160" t="n">
        <v>3.25</v>
      </c>
      <c r="M558" s="160" t="n">
        <v>2</v>
      </c>
      <c r="N558" s="160" t="n">
        <f aca="false">+$H558*L558</f>
        <v>22.75</v>
      </c>
      <c r="O558" s="160" t="n">
        <f aca="false">+$H558*M558</f>
        <v>14</v>
      </c>
      <c r="P558" s="160" t="n">
        <f aca="false">+SUM(N558:O558)</f>
        <v>36.75</v>
      </c>
      <c r="R558" s="161"/>
      <c r="S558" s="161" t="n">
        <f aca="false">+R558*$H558</f>
        <v>0</v>
      </c>
      <c r="T558" s="161" t="n">
        <v>0.51</v>
      </c>
      <c r="U558" s="161" t="n">
        <f aca="false">+T558*$H558</f>
        <v>3.57</v>
      </c>
      <c r="V558" s="161" t="n">
        <f aca="false">+T558*$V$11</f>
        <v>2.55</v>
      </c>
      <c r="W558" s="161" t="n">
        <f aca="false">+V558*$H558</f>
        <v>17.85</v>
      </c>
      <c r="X558" s="161" t="n">
        <v>0.1</v>
      </c>
      <c r="Y558" s="161" t="n">
        <f aca="false">+X558*$H558</f>
        <v>0.7</v>
      </c>
      <c r="Z558" s="161" t="n">
        <v>0.29</v>
      </c>
      <c r="AA558" s="161" t="n">
        <f aca="false">+Z558*$H558</f>
        <v>2.03</v>
      </c>
      <c r="AB558" s="161"/>
      <c r="AC558" s="161" t="n">
        <f aca="false">+AB558*$H558</f>
        <v>0</v>
      </c>
      <c r="AD558" s="161" t="n">
        <f aca="false">+R558+V558+X558+Z558+AB558</f>
        <v>2.94</v>
      </c>
      <c r="AE558" s="161" t="n">
        <f aca="false">+AD558*$H558</f>
        <v>20.58</v>
      </c>
    </row>
    <row r="559" customFormat="false" ht="16.5" hidden="false" customHeight="true" outlineLevel="0" collapsed="false">
      <c r="A559" s="102"/>
      <c r="B559" s="162" t="s">
        <v>918</v>
      </c>
      <c r="C559" s="111"/>
      <c r="D559" s="163" t="s">
        <v>474</v>
      </c>
      <c r="E559" s="113" t="s">
        <v>85</v>
      </c>
      <c r="F559" s="119" t="n">
        <v>53</v>
      </c>
      <c r="G559" s="119" t="n">
        <v>0</v>
      </c>
      <c r="H559" s="115" t="n">
        <f aca="false">IFERROR(SUM($F559:$G559),"")</f>
        <v>53</v>
      </c>
      <c r="J559" s="120" t="n">
        <v>0.7</v>
      </c>
      <c r="K559" s="121" t="n">
        <f aca="false">+$H559*J559</f>
        <v>37.1</v>
      </c>
      <c r="L559" s="122" t="n">
        <v>3.5</v>
      </c>
      <c r="M559" s="122" t="n">
        <v>2.5</v>
      </c>
      <c r="N559" s="121" t="n">
        <f aca="false">+$H559*L559</f>
        <v>185.5</v>
      </c>
      <c r="O559" s="121" t="n">
        <f aca="false">+$H559*M559</f>
        <v>132.5</v>
      </c>
      <c r="P559" s="121" t="n">
        <f aca="false">+SUM(N559:O559)</f>
        <v>318</v>
      </c>
      <c r="R559" s="109"/>
      <c r="S559" s="109" t="n">
        <f aca="false">+R559*$H559</f>
        <v>0</v>
      </c>
      <c r="T559" s="109"/>
      <c r="U559" s="109" t="n">
        <f aca="false">+T559*$H559</f>
        <v>0</v>
      </c>
      <c r="V559" s="109" t="n">
        <f aca="false">+T559*$V$11</f>
        <v>0</v>
      </c>
      <c r="W559" s="109" t="n">
        <f aca="false">+V559*$H559</f>
        <v>0</v>
      </c>
      <c r="X559" s="109"/>
      <c r="Y559" s="109" t="n">
        <f aca="false">+X559*$H559</f>
        <v>0</v>
      </c>
      <c r="Z559" s="109"/>
      <c r="AA559" s="109" t="n">
        <f aca="false">+Z559*$H559</f>
        <v>0</v>
      </c>
      <c r="AB559" s="109"/>
      <c r="AC559" s="109" t="n">
        <f aca="false">+AB559*$H559</f>
        <v>0</v>
      </c>
      <c r="AD559" s="109" t="n">
        <f aca="false">+R559+V559+X559+Z559+AB559</f>
        <v>0</v>
      </c>
      <c r="AE559" s="109" t="n">
        <f aca="false">+AD559*$H559</f>
        <v>0</v>
      </c>
    </row>
    <row r="560" s="171" customFormat="true" ht="16.5" hidden="false" customHeight="true" outlineLevel="0" collapsed="false">
      <c r="A560" s="221"/>
      <c r="B560" s="222" t="s">
        <v>919</v>
      </c>
      <c r="C560" s="223"/>
      <c r="D560" s="224" t="s">
        <v>476</v>
      </c>
      <c r="E560" s="225" t="s">
        <v>85</v>
      </c>
      <c r="F560" s="226" t="n">
        <v>42</v>
      </c>
      <c r="G560" s="226" t="n">
        <v>0</v>
      </c>
      <c r="H560" s="227" t="n">
        <f aca="false">IFERROR(SUM($F560:$G560),"")</f>
        <v>42</v>
      </c>
      <c r="J560" s="172" t="n">
        <v>0.8</v>
      </c>
      <c r="K560" s="173" t="n">
        <f aca="false">+$H560*J560</f>
        <v>33.6</v>
      </c>
      <c r="L560" s="173" t="n">
        <v>4</v>
      </c>
      <c r="M560" s="173" t="n">
        <v>3</v>
      </c>
      <c r="N560" s="173" t="n">
        <f aca="false">+$H560*L560</f>
        <v>168</v>
      </c>
      <c r="O560" s="173" t="n">
        <f aca="false">+$H560*M560</f>
        <v>126</v>
      </c>
      <c r="P560" s="173" t="n">
        <f aca="false">+SUM(N560:O560)</f>
        <v>294</v>
      </c>
      <c r="R560" s="174"/>
      <c r="S560" s="174" t="n">
        <f aca="false">+R560*$H560</f>
        <v>0</v>
      </c>
      <c r="T560" s="174" t="n">
        <v>0.65</v>
      </c>
      <c r="U560" s="174" t="n">
        <f aca="false">+T560*$H560</f>
        <v>27.3</v>
      </c>
      <c r="V560" s="174" t="n">
        <f aca="false">+T560*$V$11</f>
        <v>3.25</v>
      </c>
      <c r="W560" s="174" t="n">
        <f aca="false">+V560*$H560</f>
        <v>136.5</v>
      </c>
      <c r="X560" s="174" t="n">
        <v>0.14</v>
      </c>
      <c r="Y560" s="174" t="n">
        <f aca="false">+X560*$H560</f>
        <v>5.88</v>
      </c>
      <c r="Z560" s="174" t="n">
        <v>0.37</v>
      </c>
      <c r="AA560" s="174" t="n">
        <f aca="false">+Z560*$H560</f>
        <v>15.54</v>
      </c>
      <c r="AB560" s="174"/>
      <c r="AC560" s="174" t="n">
        <f aca="false">+AB560*$H560</f>
        <v>0</v>
      </c>
      <c r="AD560" s="174" t="n">
        <f aca="false">+R560+V560+X560+Z560+AB560</f>
        <v>3.76</v>
      </c>
      <c r="AE560" s="174" t="n">
        <f aca="false">+AD560*$H560</f>
        <v>157.92</v>
      </c>
    </row>
    <row r="561" s="182" customFormat="true" ht="15" hidden="false" customHeight="true" outlineLevel="0" collapsed="false">
      <c r="A561" s="228"/>
      <c r="B561" s="176" t="s">
        <v>920</v>
      </c>
      <c r="C561" s="177"/>
      <c r="D561" s="178" t="s">
        <v>478</v>
      </c>
      <c r="E561" s="179" t="s">
        <v>85</v>
      </c>
      <c r="F561" s="180" t="n">
        <v>5</v>
      </c>
      <c r="G561" s="180" t="n">
        <v>0</v>
      </c>
      <c r="H561" s="181" t="n">
        <f aca="false">IFERROR(SUM($F561:$G561),"")</f>
        <v>5</v>
      </c>
      <c r="J561" s="183" t="n">
        <v>0.9</v>
      </c>
      <c r="K561" s="184" t="n">
        <f aca="false">+$H561*J561</f>
        <v>4.5</v>
      </c>
      <c r="L561" s="184" t="n">
        <v>4.5</v>
      </c>
      <c r="M561" s="184" t="n">
        <v>3.5</v>
      </c>
      <c r="N561" s="184" t="n">
        <f aca="false">+$H561*L561</f>
        <v>22.5</v>
      </c>
      <c r="O561" s="184" t="n">
        <f aca="false">+$H561*M561</f>
        <v>17.5</v>
      </c>
      <c r="P561" s="184" t="n">
        <f aca="false">+SUM(N561:O561)</f>
        <v>40</v>
      </c>
      <c r="R561" s="185"/>
      <c r="S561" s="185" t="n">
        <f aca="false">+R561*$H561</f>
        <v>0</v>
      </c>
      <c r="T561" s="185" t="n">
        <v>0.65</v>
      </c>
      <c r="U561" s="185" t="n">
        <f aca="false">+T561*$H561</f>
        <v>3.25</v>
      </c>
      <c r="V561" s="185" t="n">
        <f aca="false">+T561*$V$11</f>
        <v>3.25</v>
      </c>
      <c r="W561" s="185" t="n">
        <f aca="false">+V561*$H561</f>
        <v>16.25</v>
      </c>
      <c r="X561" s="185" t="n">
        <v>0.14</v>
      </c>
      <c r="Y561" s="185" t="n">
        <f aca="false">+X561*$H561</f>
        <v>0.7</v>
      </c>
      <c r="Z561" s="185" t="n">
        <v>0.37</v>
      </c>
      <c r="AA561" s="185" t="n">
        <f aca="false">+Z561*$H561</f>
        <v>1.85</v>
      </c>
      <c r="AB561" s="185"/>
      <c r="AC561" s="185" t="n">
        <f aca="false">+AB561*$H561</f>
        <v>0</v>
      </c>
      <c r="AD561" s="185" t="n">
        <f aca="false">+R561+V561+X561+Z561+AB561</f>
        <v>3.76</v>
      </c>
      <c r="AE561" s="185" t="n">
        <f aca="false">+AD561*$H561</f>
        <v>18.8</v>
      </c>
    </row>
    <row r="562" s="193" customFormat="true" ht="16.5" hidden="false" customHeight="true" outlineLevel="0" collapsed="false">
      <c r="A562" s="229"/>
      <c r="B562" s="187" t="s">
        <v>921</v>
      </c>
      <c r="C562" s="188"/>
      <c r="D562" s="189" t="s">
        <v>480</v>
      </c>
      <c r="E562" s="190" t="s">
        <v>85</v>
      </c>
      <c r="F562" s="191" t="n">
        <v>30</v>
      </c>
      <c r="G562" s="191" t="n">
        <v>0</v>
      </c>
      <c r="H562" s="192" t="n">
        <f aca="false">IFERROR(SUM($F562:$G562),"")</f>
        <v>30</v>
      </c>
      <c r="J562" s="194" t="n">
        <v>1</v>
      </c>
      <c r="K562" s="195" t="n">
        <f aca="false">+$H562*J562</f>
        <v>30</v>
      </c>
      <c r="L562" s="195" t="n">
        <v>5</v>
      </c>
      <c r="M562" s="195" t="n">
        <v>4</v>
      </c>
      <c r="N562" s="195" t="n">
        <f aca="false">+$H562*L562</f>
        <v>150</v>
      </c>
      <c r="O562" s="195" t="n">
        <f aca="false">+$H562*M562</f>
        <v>120</v>
      </c>
      <c r="P562" s="195" t="n">
        <f aca="false">+SUM(N562:O562)</f>
        <v>270</v>
      </c>
      <c r="R562" s="196"/>
      <c r="S562" s="196" t="n">
        <f aca="false">+R562*$H562</f>
        <v>0</v>
      </c>
      <c r="T562" s="196" t="n">
        <v>0.65</v>
      </c>
      <c r="U562" s="196" t="n">
        <f aca="false">+T562*$H562</f>
        <v>19.5</v>
      </c>
      <c r="V562" s="196" t="n">
        <f aca="false">+T562*$V$11</f>
        <v>3.25</v>
      </c>
      <c r="W562" s="196" t="n">
        <f aca="false">+V562*$H562</f>
        <v>97.5</v>
      </c>
      <c r="X562" s="196" t="n">
        <v>0.14</v>
      </c>
      <c r="Y562" s="196" t="n">
        <f aca="false">+X562*$H562</f>
        <v>4.2</v>
      </c>
      <c r="Z562" s="196" t="n">
        <v>0.37</v>
      </c>
      <c r="AA562" s="196" t="n">
        <f aca="false">+Z562*$H562</f>
        <v>11.1</v>
      </c>
      <c r="AB562" s="196"/>
      <c r="AC562" s="196" t="n">
        <f aca="false">+AB562*$H562</f>
        <v>0</v>
      </c>
      <c r="AD562" s="196" t="n">
        <f aca="false">+R562+V562+X562+Z562+AB562</f>
        <v>3.76</v>
      </c>
      <c r="AE562" s="196" t="n">
        <f aca="false">+AD562*$H562</f>
        <v>112.8</v>
      </c>
    </row>
    <row r="563" customFormat="false" ht="16.5" hidden="false" customHeight="true" outlineLevel="0" collapsed="false">
      <c r="A563" s="102"/>
      <c r="B563" s="117" t="s">
        <v>922</v>
      </c>
      <c r="C563" s="111"/>
      <c r="D563" s="118" t="s">
        <v>482</v>
      </c>
      <c r="E563" s="113" t="s">
        <v>85</v>
      </c>
      <c r="F563" s="119" t="n">
        <v>44</v>
      </c>
      <c r="G563" s="119" t="n">
        <v>0</v>
      </c>
      <c r="H563" s="115" t="n">
        <f aca="false">IFERROR(SUM($F563:$G563),"")</f>
        <v>44</v>
      </c>
      <c r="J563" s="120" t="n">
        <v>1.2</v>
      </c>
      <c r="K563" s="121" t="n">
        <f aca="false">+$H563*J563</f>
        <v>52.8</v>
      </c>
      <c r="L563" s="122" t="n">
        <v>6</v>
      </c>
      <c r="M563" s="122" t="n">
        <v>5</v>
      </c>
      <c r="N563" s="121" t="n">
        <f aca="false">+$H563*L563</f>
        <v>264</v>
      </c>
      <c r="O563" s="121" t="n">
        <f aca="false">+$H563*M563</f>
        <v>220</v>
      </c>
      <c r="P563" s="121" t="n">
        <f aca="false">+SUM(N563:O563)</f>
        <v>484</v>
      </c>
      <c r="R563" s="109"/>
      <c r="S563" s="109" t="n">
        <f aca="false">+R563*$H563</f>
        <v>0</v>
      </c>
      <c r="T563" s="109"/>
      <c r="U563" s="109" t="n">
        <f aca="false">+T563*$H563</f>
        <v>0</v>
      </c>
      <c r="V563" s="109" t="n">
        <f aca="false">+T563*$V$11</f>
        <v>0</v>
      </c>
      <c r="W563" s="109" t="n">
        <f aca="false">+V563*$H563</f>
        <v>0</v>
      </c>
      <c r="X563" s="109"/>
      <c r="Y563" s="109" t="n">
        <f aca="false">+X563*$H563</f>
        <v>0</v>
      </c>
      <c r="Z563" s="109"/>
      <c r="AA563" s="109" t="n">
        <f aca="false">+Z563*$H563</f>
        <v>0</v>
      </c>
      <c r="AB563" s="109"/>
      <c r="AC563" s="109" t="n">
        <f aca="false">+AB563*$H563</f>
        <v>0</v>
      </c>
      <c r="AD563" s="109" t="n">
        <f aca="false">+R563+V563+X563+Z563+AB563</f>
        <v>0</v>
      </c>
      <c r="AE563" s="109" t="n">
        <f aca="false">+AD563*$H563</f>
        <v>0</v>
      </c>
    </row>
    <row r="564" customFormat="false" ht="16.5" hidden="false" customHeight="true" outlineLevel="0" collapsed="false">
      <c r="A564" s="102"/>
      <c r="B564" s="117" t="s">
        <v>923</v>
      </c>
      <c r="C564" s="111"/>
      <c r="D564" s="118" t="s">
        <v>484</v>
      </c>
      <c r="E564" s="113" t="s">
        <v>85</v>
      </c>
      <c r="F564" s="119" t="n">
        <v>44</v>
      </c>
      <c r="G564" s="119" t="n">
        <v>0</v>
      </c>
      <c r="H564" s="115" t="n">
        <f aca="false">IFERROR(SUM($F564:$G564),"")</f>
        <v>44</v>
      </c>
      <c r="J564" s="120" t="n">
        <v>1.45</v>
      </c>
      <c r="K564" s="121" t="n">
        <f aca="false">+$H564*J564</f>
        <v>63.8</v>
      </c>
      <c r="L564" s="122" t="n">
        <v>7.25</v>
      </c>
      <c r="M564" s="122" t="n">
        <v>6</v>
      </c>
      <c r="N564" s="121" t="n">
        <f aca="false">+$H564*L564</f>
        <v>319</v>
      </c>
      <c r="O564" s="121" t="n">
        <f aca="false">+$H564*M564</f>
        <v>264</v>
      </c>
      <c r="P564" s="121" t="n">
        <f aca="false">+SUM(N564:O564)</f>
        <v>583</v>
      </c>
      <c r="R564" s="109"/>
      <c r="S564" s="109" t="n">
        <f aca="false">+R564*$H564</f>
        <v>0</v>
      </c>
      <c r="T564" s="109"/>
      <c r="U564" s="109" t="n">
        <f aca="false">+T564*$H564</f>
        <v>0</v>
      </c>
      <c r="V564" s="109" t="n">
        <f aca="false">+T564*$V$11</f>
        <v>0</v>
      </c>
      <c r="W564" s="109" t="n">
        <f aca="false">+V564*$H564</f>
        <v>0</v>
      </c>
      <c r="X564" s="109"/>
      <c r="Y564" s="109" t="n">
        <f aca="false">+X564*$H564</f>
        <v>0</v>
      </c>
      <c r="Z564" s="109"/>
      <c r="AA564" s="109" t="n">
        <f aca="false">+Z564*$H564</f>
        <v>0</v>
      </c>
      <c r="AB564" s="109"/>
      <c r="AC564" s="109" t="n">
        <f aca="false">+AB564*$H564</f>
        <v>0</v>
      </c>
      <c r="AD564" s="109" t="n">
        <f aca="false">+R564+V564+X564+Z564+AB564</f>
        <v>0</v>
      </c>
      <c r="AE564" s="109" t="n">
        <f aca="false">+AD564*$H564</f>
        <v>0</v>
      </c>
    </row>
    <row r="565" customFormat="false" ht="16.5" hidden="false" customHeight="true" outlineLevel="0" collapsed="false">
      <c r="A565" s="102"/>
      <c r="B565" s="117" t="s">
        <v>924</v>
      </c>
      <c r="C565" s="111"/>
      <c r="D565" s="118" t="s">
        <v>486</v>
      </c>
      <c r="E565" s="113" t="s">
        <v>85</v>
      </c>
      <c r="F565" s="119" t="n">
        <v>44</v>
      </c>
      <c r="G565" s="119" t="n">
        <v>0</v>
      </c>
      <c r="H565" s="115" t="n">
        <f aca="false">IFERROR(SUM($F565:$G565),"")</f>
        <v>44</v>
      </c>
      <c r="J565" s="120" t="n">
        <v>1.6</v>
      </c>
      <c r="K565" s="121" t="n">
        <f aca="false">+$H565*J565</f>
        <v>70.4</v>
      </c>
      <c r="L565" s="122" t="n">
        <v>8</v>
      </c>
      <c r="M565" s="122" t="n">
        <v>7</v>
      </c>
      <c r="N565" s="121" t="n">
        <f aca="false">+$H565*L565</f>
        <v>352</v>
      </c>
      <c r="O565" s="121" t="n">
        <f aca="false">+$H565*M565</f>
        <v>308</v>
      </c>
      <c r="P565" s="121" t="n">
        <f aca="false">+SUM(N565:O565)</f>
        <v>660</v>
      </c>
      <c r="R565" s="109"/>
      <c r="S565" s="109" t="n">
        <f aca="false">+R565*$H565</f>
        <v>0</v>
      </c>
      <c r="T565" s="109"/>
      <c r="U565" s="109" t="n">
        <f aca="false">+T565*$H565</f>
        <v>0</v>
      </c>
      <c r="V565" s="109" t="n">
        <f aca="false">+T565*$V$11</f>
        <v>0</v>
      </c>
      <c r="W565" s="109" t="n">
        <f aca="false">+V565*$H565</f>
        <v>0</v>
      </c>
      <c r="X565" s="109"/>
      <c r="Y565" s="109" t="n">
        <f aca="false">+X565*$H565</f>
        <v>0</v>
      </c>
      <c r="Z565" s="109"/>
      <c r="AA565" s="109" t="n">
        <f aca="false">+Z565*$H565</f>
        <v>0</v>
      </c>
      <c r="AB565" s="109"/>
      <c r="AC565" s="109" t="n">
        <f aca="false">+AB565*$H565</f>
        <v>0</v>
      </c>
      <c r="AD565" s="109" t="n">
        <f aca="false">+R565+V565+X565+Z565+AB565</f>
        <v>0</v>
      </c>
      <c r="AE565" s="109" t="n">
        <f aca="false">+AD565*$H565</f>
        <v>0</v>
      </c>
    </row>
    <row r="566" customFormat="false" ht="16.5" hidden="false" customHeight="true" outlineLevel="0" collapsed="false">
      <c r="A566" s="102"/>
      <c r="B566" s="117" t="s">
        <v>925</v>
      </c>
      <c r="C566" s="111"/>
      <c r="D566" s="118" t="s">
        <v>488</v>
      </c>
      <c r="E566" s="113" t="s">
        <v>85</v>
      </c>
      <c r="F566" s="119" t="n">
        <v>101</v>
      </c>
      <c r="G566" s="119" t="n">
        <v>0</v>
      </c>
      <c r="H566" s="115" t="n">
        <f aca="false">IFERROR(SUM($F566:$G566),"")</f>
        <v>101</v>
      </c>
      <c r="J566" s="120" t="n">
        <v>2</v>
      </c>
      <c r="K566" s="121" t="n">
        <f aca="false">+$H566*J566</f>
        <v>202</v>
      </c>
      <c r="L566" s="122" t="n">
        <v>10</v>
      </c>
      <c r="M566" s="122" t="n">
        <v>10</v>
      </c>
      <c r="N566" s="121" t="n">
        <f aca="false">+$H566*L566</f>
        <v>1010</v>
      </c>
      <c r="O566" s="121" t="n">
        <f aca="false">+$H566*M566</f>
        <v>1010</v>
      </c>
      <c r="P566" s="121" t="n">
        <f aca="false">+SUM(N566:O566)</f>
        <v>2020</v>
      </c>
      <c r="R566" s="109"/>
      <c r="S566" s="109" t="n">
        <f aca="false">+R566*$H566</f>
        <v>0</v>
      </c>
      <c r="T566" s="109"/>
      <c r="U566" s="109" t="n">
        <f aca="false">+T566*$H566</f>
        <v>0</v>
      </c>
      <c r="V566" s="109" t="n">
        <f aca="false">+T566*$V$11</f>
        <v>0</v>
      </c>
      <c r="W566" s="109" t="n">
        <f aca="false">+V566*$H566</f>
        <v>0</v>
      </c>
      <c r="X566" s="109"/>
      <c r="Y566" s="109" t="n">
        <f aca="false">+X566*$H566</f>
        <v>0</v>
      </c>
      <c r="Z566" s="109"/>
      <c r="AA566" s="109" t="n">
        <f aca="false">+Z566*$H566</f>
        <v>0</v>
      </c>
      <c r="AB566" s="109"/>
      <c r="AC566" s="109" t="n">
        <f aca="false">+AB566*$H566</f>
        <v>0</v>
      </c>
      <c r="AD566" s="109" t="n">
        <f aca="false">+R566+V566+X566+Z566+AB566</f>
        <v>0</v>
      </c>
      <c r="AE566" s="109" t="n">
        <f aca="false">+AD566*$H566</f>
        <v>0</v>
      </c>
    </row>
    <row r="567" customFormat="false" ht="16.5" hidden="false" customHeight="true" outlineLevel="0" collapsed="false">
      <c r="A567" s="102"/>
      <c r="B567" s="117" t="s">
        <v>926</v>
      </c>
      <c r="C567" s="111"/>
      <c r="D567" s="118" t="s">
        <v>490</v>
      </c>
      <c r="E567" s="113" t="s">
        <v>85</v>
      </c>
      <c r="F567" s="119" t="n">
        <v>28</v>
      </c>
      <c r="G567" s="119" t="n">
        <v>0</v>
      </c>
      <c r="H567" s="115" t="n">
        <f aca="false">IFERROR(SUM($F567:$G567),"")</f>
        <v>28</v>
      </c>
      <c r="J567" s="120" t="n">
        <v>2.4</v>
      </c>
      <c r="K567" s="121" t="n">
        <f aca="false">+$H567*J567</f>
        <v>67.2</v>
      </c>
      <c r="L567" s="122" t="n">
        <v>12</v>
      </c>
      <c r="M567" s="122" t="n">
        <v>12</v>
      </c>
      <c r="N567" s="121" t="n">
        <f aca="false">+$H567*L567</f>
        <v>336</v>
      </c>
      <c r="O567" s="121" t="n">
        <f aca="false">+$H567*M567</f>
        <v>336</v>
      </c>
      <c r="P567" s="121" t="n">
        <f aca="false">+SUM(N567:O567)</f>
        <v>672</v>
      </c>
      <c r="R567" s="109"/>
      <c r="S567" s="109" t="n">
        <f aca="false">+R567*$H567</f>
        <v>0</v>
      </c>
      <c r="T567" s="109"/>
      <c r="U567" s="109" t="n">
        <f aca="false">+T567*$H567</f>
        <v>0</v>
      </c>
      <c r="V567" s="109" t="n">
        <f aca="false">+T567*$V$11</f>
        <v>0</v>
      </c>
      <c r="W567" s="109" t="n">
        <f aca="false">+V567*$H567</f>
        <v>0</v>
      </c>
      <c r="X567" s="109"/>
      <c r="Y567" s="109" t="n">
        <f aca="false">+X567*$H567</f>
        <v>0</v>
      </c>
      <c r="Z567" s="109"/>
      <c r="AA567" s="109" t="n">
        <f aca="false">+Z567*$H567</f>
        <v>0</v>
      </c>
      <c r="AB567" s="109"/>
      <c r="AC567" s="109" t="n">
        <f aca="false">+AB567*$H567</f>
        <v>0</v>
      </c>
      <c r="AD567" s="109" t="n">
        <f aca="false">+R567+V567+X567+Z567+AB567</f>
        <v>0</v>
      </c>
      <c r="AE567" s="109" t="n">
        <f aca="false">+AD567*$H567</f>
        <v>0</v>
      </c>
    </row>
    <row r="568" customFormat="false" ht="16.5" hidden="false" customHeight="true" outlineLevel="0" collapsed="false">
      <c r="A568" s="102"/>
      <c r="B568" s="117" t="s">
        <v>927</v>
      </c>
      <c r="C568" s="111"/>
      <c r="D568" s="118" t="s">
        <v>492</v>
      </c>
      <c r="E568" s="113" t="s">
        <v>85</v>
      </c>
      <c r="F568" s="119" t="n">
        <v>37</v>
      </c>
      <c r="G568" s="119" t="n">
        <v>0</v>
      </c>
      <c r="H568" s="115" t="n">
        <f aca="false">IFERROR(SUM($F568:$G568),"")</f>
        <v>37</v>
      </c>
      <c r="J568" s="120" t="n">
        <v>2.8</v>
      </c>
      <c r="K568" s="121" t="n">
        <f aca="false">+$H568*J568</f>
        <v>103.6</v>
      </c>
      <c r="L568" s="122" t="n">
        <v>14</v>
      </c>
      <c r="M568" s="122" t="n">
        <v>15</v>
      </c>
      <c r="N568" s="121" t="n">
        <f aca="false">+$H568*L568</f>
        <v>518</v>
      </c>
      <c r="O568" s="121" t="n">
        <f aca="false">+$H568*M568</f>
        <v>555</v>
      </c>
      <c r="P568" s="121" t="n">
        <f aca="false">+SUM(N568:O568)</f>
        <v>1073</v>
      </c>
      <c r="R568" s="109"/>
      <c r="S568" s="109" t="n">
        <f aca="false">+R568*$H568</f>
        <v>0</v>
      </c>
      <c r="T568" s="109"/>
      <c r="U568" s="109" t="n">
        <f aca="false">+T568*$H568</f>
        <v>0</v>
      </c>
      <c r="V568" s="109" t="n">
        <f aca="false">+T568*$V$11</f>
        <v>0</v>
      </c>
      <c r="W568" s="109" t="n">
        <f aca="false">+V568*$H568</f>
        <v>0</v>
      </c>
      <c r="X568" s="109"/>
      <c r="Y568" s="109" t="n">
        <f aca="false">+X568*$H568</f>
        <v>0</v>
      </c>
      <c r="Z568" s="109"/>
      <c r="AA568" s="109" t="n">
        <f aca="false">+Z568*$H568</f>
        <v>0</v>
      </c>
      <c r="AB568" s="109"/>
      <c r="AC568" s="109" t="n">
        <f aca="false">+AB568*$H568</f>
        <v>0</v>
      </c>
      <c r="AD568" s="109" t="n">
        <f aca="false">+R568+V568+X568+Z568+AB568</f>
        <v>0</v>
      </c>
      <c r="AE568" s="109" t="n">
        <f aca="false">+AD568*$H568</f>
        <v>0</v>
      </c>
    </row>
    <row r="569" customFormat="false" ht="16.5" hidden="false" customHeight="true" outlineLevel="0" collapsed="false">
      <c r="A569" s="150"/>
      <c r="B569" s="117" t="s">
        <v>928</v>
      </c>
      <c r="C569" s="111"/>
      <c r="D569" s="118" t="s">
        <v>494</v>
      </c>
      <c r="E569" s="113" t="s">
        <v>85</v>
      </c>
      <c r="F569" s="119" t="n">
        <v>60</v>
      </c>
      <c r="G569" s="119" t="n">
        <v>0</v>
      </c>
      <c r="H569" s="115" t="n">
        <f aca="false">IFERROR(SUM($F569:$G569),"")</f>
        <v>60</v>
      </c>
      <c r="J569" s="120" t="n">
        <v>3.2</v>
      </c>
      <c r="K569" s="121" t="n">
        <f aca="false">+$H569*J569</f>
        <v>192</v>
      </c>
      <c r="L569" s="122" t="n">
        <v>16</v>
      </c>
      <c r="M569" s="122" t="n">
        <v>18</v>
      </c>
      <c r="N569" s="121" t="n">
        <f aca="false">+$H569*L569</f>
        <v>960</v>
      </c>
      <c r="O569" s="121" t="n">
        <f aca="false">+$H569*M569</f>
        <v>1080</v>
      </c>
      <c r="P569" s="121" t="n">
        <f aca="false">+SUM(N569:O569)</f>
        <v>2040</v>
      </c>
      <c r="R569" s="109"/>
      <c r="S569" s="109" t="n">
        <f aca="false">+R569*$H569</f>
        <v>0</v>
      </c>
      <c r="T569" s="109"/>
      <c r="U569" s="109" t="n">
        <f aca="false">+T569*$H569</f>
        <v>0</v>
      </c>
      <c r="V569" s="109" t="n">
        <f aca="false">+T569*$V$11</f>
        <v>0</v>
      </c>
      <c r="W569" s="109" t="n">
        <f aca="false">+V569*$H569</f>
        <v>0</v>
      </c>
      <c r="X569" s="109"/>
      <c r="Y569" s="109" t="n">
        <f aca="false">+X569*$H569</f>
        <v>0</v>
      </c>
      <c r="Z569" s="109"/>
      <c r="AA569" s="109" t="n">
        <f aca="false">+Z569*$H569</f>
        <v>0</v>
      </c>
      <c r="AB569" s="109"/>
      <c r="AC569" s="109" t="n">
        <f aca="false">+AB569*$H569</f>
        <v>0</v>
      </c>
      <c r="AD569" s="109" t="n">
        <f aca="false">+R569+V569+X569+Z569+AB569</f>
        <v>0</v>
      </c>
      <c r="AE569" s="109" t="n">
        <f aca="false">+AD569*$H569</f>
        <v>0</v>
      </c>
    </row>
    <row r="570" customFormat="false" ht="16.5" hidden="false" customHeight="true" outlineLevel="0" collapsed="false">
      <c r="A570" s="150"/>
      <c r="B570" s="117" t="s">
        <v>929</v>
      </c>
      <c r="C570" s="111"/>
      <c r="D570" s="118" t="s">
        <v>496</v>
      </c>
      <c r="E570" s="113" t="s">
        <v>85</v>
      </c>
      <c r="F570" s="119" t="n">
        <v>30</v>
      </c>
      <c r="G570" s="119" t="n">
        <v>0</v>
      </c>
      <c r="H570" s="115" t="n">
        <f aca="false">IFERROR(SUM($F570:$G570),"")</f>
        <v>30</v>
      </c>
      <c r="J570" s="120" t="n">
        <v>3.6</v>
      </c>
      <c r="K570" s="121" t="n">
        <f aca="false">+$H570*J570</f>
        <v>108</v>
      </c>
      <c r="L570" s="122" t="n">
        <v>18</v>
      </c>
      <c r="M570" s="122" t="n">
        <v>22</v>
      </c>
      <c r="N570" s="121" t="n">
        <f aca="false">+$H570*L570</f>
        <v>540</v>
      </c>
      <c r="O570" s="121" t="n">
        <f aca="false">+$H570*M570</f>
        <v>660</v>
      </c>
      <c r="P570" s="121" t="n">
        <f aca="false">+SUM(N570:O570)</f>
        <v>1200</v>
      </c>
      <c r="R570" s="109"/>
      <c r="S570" s="109" t="n">
        <f aca="false">+R570*$H570</f>
        <v>0</v>
      </c>
      <c r="T570" s="109"/>
      <c r="U570" s="109" t="n">
        <f aca="false">+T570*$H570</f>
        <v>0</v>
      </c>
      <c r="V570" s="109" t="n">
        <f aca="false">+T570*$V$11</f>
        <v>0</v>
      </c>
      <c r="W570" s="109" t="n">
        <f aca="false">+V570*$H570</f>
        <v>0</v>
      </c>
      <c r="X570" s="109"/>
      <c r="Y570" s="109" t="n">
        <f aca="false">+X570*$H570</f>
        <v>0</v>
      </c>
      <c r="Z570" s="109"/>
      <c r="AA570" s="109" t="n">
        <f aca="false">+Z570*$H570</f>
        <v>0</v>
      </c>
      <c r="AB570" s="109"/>
      <c r="AC570" s="109" t="n">
        <f aca="false">+AB570*$H570</f>
        <v>0</v>
      </c>
      <c r="AD570" s="109" t="n">
        <f aca="false">+R570+V570+X570+Z570+AB570</f>
        <v>0</v>
      </c>
      <c r="AE570" s="109" t="n">
        <f aca="false">+AD570*$H570</f>
        <v>0</v>
      </c>
    </row>
    <row r="571" customFormat="false" ht="16.5" hidden="false" customHeight="true" outlineLevel="0" collapsed="false">
      <c r="A571" s="102"/>
      <c r="B571" s="117" t="s">
        <v>930</v>
      </c>
      <c r="C571" s="111"/>
      <c r="D571" s="118" t="s">
        <v>498</v>
      </c>
      <c r="E571" s="113" t="s">
        <v>85</v>
      </c>
      <c r="F571" s="119" t="n">
        <v>55</v>
      </c>
      <c r="G571" s="119" t="n">
        <v>0</v>
      </c>
      <c r="H571" s="115" t="n">
        <f aca="false">IFERROR(SUM($F571:$G571),"")</f>
        <v>55</v>
      </c>
      <c r="J571" s="120" t="n">
        <v>4</v>
      </c>
      <c r="K571" s="121" t="n">
        <f aca="false">+$H571*J571</f>
        <v>220</v>
      </c>
      <c r="L571" s="122" t="n">
        <v>20</v>
      </c>
      <c r="M571" s="122" t="n">
        <v>28</v>
      </c>
      <c r="N571" s="121" t="n">
        <f aca="false">+$H571*L571</f>
        <v>1100</v>
      </c>
      <c r="O571" s="121" t="n">
        <f aca="false">+$H571*M571</f>
        <v>1540</v>
      </c>
      <c r="P571" s="121" t="n">
        <f aca="false">+SUM(N571:O571)</f>
        <v>2640</v>
      </c>
      <c r="R571" s="109"/>
      <c r="S571" s="109" t="n">
        <f aca="false">+R571*$H571</f>
        <v>0</v>
      </c>
      <c r="T571" s="109"/>
      <c r="U571" s="109" t="n">
        <f aca="false">+T571*$H571</f>
        <v>0</v>
      </c>
      <c r="V571" s="109" t="n">
        <f aca="false">+T571*$V$11</f>
        <v>0</v>
      </c>
      <c r="W571" s="109" t="n">
        <f aca="false">+V571*$H571</f>
        <v>0</v>
      </c>
      <c r="X571" s="109"/>
      <c r="Y571" s="109" t="n">
        <f aca="false">+X571*$H571</f>
        <v>0</v>
      </c>
      <c r="Z571" s="109"/>
      <c r="AA571" s="109" t="n">
        <f aca="false">+Z571*$H571</f>
        <v>0</v>
      </c>
      <c r="AB571" s="109"/>
      <c r="AC571" s="109" t="n">
        <f aca="false">+AB571*$H571</f>
        <v>0</v>
      </c>
      <c r="AD571" s="109" t="n">
        <f aca="false">+R571+V571+X571+Z571+AB571</f>
        <v>0</v>
      </c>
      <c r="AE571" s="109" t="n">
        <f aca="false">+AD571*$H571</f>
        <v>0</v>
      </c>
    </row>
    <row r="572" customFormat="false" ht="16.5" hidden="true" customHeight="true" outlineLevel="0" collapsed="false">
      <c r="A572" s="150"/>
      <c r="B572" s="117" t="s">
        <v>931</v>
      </c>
      <c r="C572" s="111"/>
      <c r="D572" s="118" t="s">
        <v>500</v>
      </c>
      <c r="E572" s="113" t="s">
        <v>85</v>
      </c>
      <c r="F572" s="119" t="n">
        <v>0</v>
      </c>
      <c r="G572" s="119" t="n">
        <v>0</v>
      </c>
      <c r="H572" s="115" t="n">
        <f aca="false">IFERROR(SUM($F572:$G572),"")</f>
        <v>0</v>
      </c>
      <c r="J572" s="116"/>
      <c r="K572" s="116"/>
      <c r="L572" s="116"/>
      <c r="M572" s="116"/>
      <c r="N572" s="116"/>
      <c r="O572" s="116"/>
      <c r="P572" s="116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</row>
    <row r="573" customFormat="false" ht="16.5" hidden="true" customHeight="true" outlineLevel="0" collapsed="false">
      <c r="A573" s="102"/>
      <c r="B573" s="117" t="s">
        <v>932</v>
      </c>
      <c r="C573" s="111"/>
      <c r="D573" s="118" t="s">
        <v>502</v>
      </c>
      <c r="E573" s="113" t="s">
        <v>85</v>
      </c>
      <c r="F573" s="119" t="n">
        <v>0</v>
      </c>
      <c r="G573" s="119" t="n">
        <v>0</v>
      </c>
      <c r="H573" s="115" t="n">
        <f aca="false">IFERROR(SUM($F573:$G573),"")</f>
        <v>0</v>
      </c>
      <c r="J573" s="116"/>
      <c r="K573" s="116"/>
      <c r="L573" s="116"/>
      <c r="M573" s="116"/>
      <c r="N573" s="116"/>
      <c r="O573" s="116"/>
      <c r="P573" s="116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</row>
    <row r="574" customFormat="false" ht="16.5" hidden="true" customHeight="true" outlineLevel="0" collapsed="false">
      <c r="A574" s="150"/>
      <c r="B574" s="117" t="s">
        <v>933</v>
      </c>
      <c r="C574" s="111"/>
      <c r="D574" s="118" t="s">
        <v>504</v>
      </c>
      <c r="E574" s="113" t="s">
        <v>85</v>
      </c>
      <c r="F574" s="119" t="n">
        <v>0</v>
      </c>
      <c r="G574" s="119" t="n">
        <v>0</v>
      </c>
      <c r="H574" s="115" t="n">
        <f aca="false">IFERROR(SUM($F574:$G574),"")</f>
        <v>0</v>
      </c>
      <c r="J574" s="116"/>
      <c r="K574" s="116"/>
      <c r="L574" s="116"/>
      <c r="M574" s="116"/>
      <c r="N574" s="116"/>
      <c r="O574" s="116"/>
      <c r="P574" s="116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</row>
    <row r="575" customFormat="false" ht="16.5" hidden="true" customHeight="true" outlineLevel="0" collapsed="false">
      <c r="A575" s="150"/>
      <c r="B575" s="117" t="s">
        <v>934</v>
      </c>
      <c r="C575" s="111"/>
      <c r="D575" s="118" t="s">
        <v>506</v>
      </c>
      <c r="E575" s="113" t="s">
        <v>85</v>
      </c>
      <c r="F575" s="119" t="n">
        <v>0</v>
      </c>
      <c r="G575" s="119" t="n">
        <v>0</v>
      </c>
      <c r="H575" s="115" t="n">
        <f aca="false">IFERROR(SUM($F575:$G575),"")</f>
        <v>0</v>
      </c>
      <c r="J575" s="116"/>
      <c r="K575" s="116"/>
      <c r="L575" s="116"/>
      <c r="M575" s="116"/>
      <c r="N575" s="116"/>
      <c r="O575" s="116"/>
      <c r="P575" s="116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</row>
    <row r="576" customFormat="false" ht="16.5" hidden="true" customHeight="true" outlineLevel="0" collapsed="false">
      <c r="A576" s="102"/>
      <c r="B576" s="117" t="s">
        <v>935</v>
      </c>
      <c r="C576" s="111"/>
      <c r="D576" s="118" t="s">
        <v>508</v>
      </c>
      <c r="E576" s="113" t="s">
        <v>85</v>
      </c>
      <c r="F576" s="119" t="n">
        <v>0</v>
      </c>
      <c r="G576" s="119" t="n">
        <v>0</v>
      </c>
      <c r="H576" s="115" t="n">
        <f aca="false">IFERROR(SUM($F576:$G576),"")</f>
        <v>0</v>
      </c>
      <c r="J576" s="116"/>
      <c r="K576" s="116"/>
      <c r="L576" s="116"/>
      <c r="M576" s="116"/>
      <c r="N576" s="116"/>
      <c r="O576" s="116"/>
      <c r="P576" s="116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</row>
    <row r="577" customFormat="false" ht="16.5" hidden="true" customHeight="true" outlineLevel="0" collapsed="false">
      <c r="A577" s="102"/>
      <c r="B577" s="117" t="s">
        <v>936</v>
      </c>
      <c r="C577" s="111"/>
      <c r="D577" s="118" t="s">
        <v>510</v>
      </c>
      <c r="E577" s="113" t="s">
        <v>85</v>
      </c>
      <c r="F577" s="119" t="n">
        <v>0</v>
      </c>
      <c r="G577" s="119" t="n">
        <v>0</v>
      </c>
      <c r="H577" s="115" t="n">
        <f aca="false">IFERROR(SUM($F577:$G577),"")</f>
        <v>0</v>
      </c>
      <c r="J577" s="116"/>
      <c r="K577" s="116"/>
      <c r="L577" s="116"/>
      <c r="M577" s="116"/>
      <c r="N577" s="116"/>
      <c r="O577" s="116"/>
      <c r="P577" s="116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</row>
    <row r="578" customFormat="false" ht="16.5" hidden="false" customHeight="true" outlineLevel="0" collapsed="false">
      <c r="A578" s="102"/>
      <c r="B578" s="117" t="s">
        <v>937</v>
      </c>
      <c r="C578" s="111"/>
      <c r="D578" s="118" t="s">
        <v>512</v>
      </c>
      <c r="E578" s="113" t="s">
        <v>85</v>
      </c>
      <c r="F578" s="119" t="n">
        <v>175</v>
      </c>
      <c r="G578" s="119" t="n">
        <v>0</v>
      </c>
      <c r="H578" s="115" t="n">
        <f aca="false">IFERROR(SUM($F578:$G578),"")</f>
        <v>175</v>
      </c>
      <c r="J578" s="120" t="n">
        <v>0.65</v>
      </c>
      <c r="K578" s="121" t="n">
        <f aca="false">+$H578*J578</f>
        <v>113.75</v>
      </c>
      <c r="L578" s="122" t="n">
        <v>3.25</v>
      </c>
      <c r="M578" s="122" t="n">
        <v>2</v>
      </c>
      <c r="N578" s="121" t="n">
        <f aca="false">+$H578*L578</f>
        <v>568.75</v>
      </c>
      <c r="O578" s="121" t="n">
        <f aca="false">+$H578*M578</f>
        <v>350</v>
      </c>
      <c r="P578" s="121" t="n">
        <f aca="false">+SUM(N578:O578)</f>
        <v>918.75</v>
      </c>
      <c r="R578" s="109"/>
      <c r="S578" s="109" t="n">
        <f aca="false">+R578*$H578</f>
        <v>0</v>
      </c>
      <c r="T578" s="109"/>
      <c r="U578" s="109" t="n">
        <f aca="false">+T578*$H578</f>
        <v>0</v>
      </c>
      <c r="V578" s="109" t="n">
        <f aca="false">+T578*$V$11</f>
        <v>0</v>
      </c>
      <c r="W578" s="109" t="n">
        <f aca="false">+V578*$H578</f>
        <v>0</v>
      </c>
      <c r="X578" s="109"/>
      <c r="Y578" s="109" t="n">
        <f aca="false">+X578*$H578</f>
        <v>0</v>
      </c>
      <c r="Z578" s="109"/>
      <c r="AA578" s="109" t="n">
        <f aca="false">+Z578*$H578</f>
        <v>0</v>
      </c>
      <c r="AB578" s="109"/>
      <c r="AC578" s="109" t="n">
        <f aca="false">+AB578*$H578</f>
        <v>0</v>
      </c>
      <c r="AD578" s="109" t="n">
        <f aca="false">+R578+V578+X578+Z578+AB578</f>
        <v>0</v>
      </c>
      <c r="AE578" s="109" t="n">
        <f aca="false">+AD578*$H578</f>
        <v>0</v>
      </c>
    </row>
    <row r="579" customFormat="false" ht="16.5" hidden="true" customHeight="true" outlineLevel="0" collapsed="false">
      <c r="A579" s="102"/>
      <c r="B579" s="117" t="s">
        <v>938</v>
      </c>
      <c r="C579" s="111"/>
      <c r="D579" s="118" t="s">
        <v>514</v>
      </c>
      <c r="E579" s="113" t="s">
        <v>85</v>
      </c>
      <c r="F579" s="119" t="n">
        <v>0</v>
      </c>
      <c r="G579" s="119" t="n">
        <v>0</v>
      </c>
      <c r="H579" s="115" t="n">
        <f aca="false">IFERROR(SUM($F579:$G579),"")</f>
        <v>0</v>
      </c>
      <c r="J579" s="116"/>
      <c r="K579" s="116"/>
      <c r="L579" s="116"/>
      <c r="M579" s="116"/>
      <c r="N579" s="116"/>
      <c r="O579" s="116"/>
      <c r="P579" s="116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</row>
    <row r="580" s="215" customFormat="true" ht="16.5" hidden="false" customHeight="true" outlineLevel="0" collapsed="false">
      <c r="A580" s="208"/>
      <c r="B580" s="209" t="s">
        <v>939</v>
      </c>
      <c r="C580" s="210"/>
      <c r="D580" s="211" t="s">
        <v>516</v>
      </c>
      <c r="E580" s="212" t="s">
        <v>85</v>
      </c>
      <c r="F580" s="213" t="n">
        <v>353</v>
      </c>
      <c r="G580" s="213" t="n">
        <v>3</v>
      </c>
      <c r="H580" s="214" t="n">
        <f aca="false">IFERROR(SUM($F580:$G580),"")</f>
        <v>356</v>
      </c>
      <c r="J580" s="216" t="n">
        <v>1</v>
      </c>
      <c r="K580" s="217" t="n">
        <f aca="false">+$H580*J580</f>
        <v>356</v>
      </c>
      <c r="L580" s="217" t="n">
        <v>5</v>
      </c>
      <c r="M580" s="217" t="n">
        <v>3.5</v>
      </c>
      <c r="N580" s="217" t="n">
        <f aca="false">+$H580*L580</f>
        <v>1780</v>
      </c>
      <c r="O580" s="217" t="n">
        <f aca="false">+$H580*M580</f>
        <v>1246</v>
      </c>
      <c r="P580" s="217" t="n">
        <f aca="false">+SUM(N580:O580)</f>
        <v>3026</v>
      </c>
      <c r="R580" s="218" t="n">
        <v>0</v>
      </c>
      <c r="S580" s="218" t="n">
        <f aca="false">+R580*$H580</f>
        <v>0</v>
      </c>
      <c r="T580" s="218" t="n">
        <v>0.2</v>
      </c>
      <c r="U580" s="218" t="n">
        <f aca="false">+T580*$H580</f>
        <v>71.2</v>
      </c>
      <c r="V580" s="218" t="n">
        <f aca="false">+T580*$V$11</f>
        <v>1</v>
      </c>
      <c r="W580" s="218" t="n">
        <f aca="false">+V580*$H580</f>
        <v>356</v>
      </c>
      <c r="X580" s="218" t="n">
        <v>1</v>
      </c>
      <c r="Y580" s="218" t="n">
        <f aca="false">+X580*$H580</f>
        <v>356</v>
      </c>
      <c r="Z580" s="218" t="n">
        <v>0.23</v>
      </c>
      <c r="AA580" s="218" t="n">
        <f aca="false">+Z580*$H580</f>
        <v>81.88</v>
      </c>
      <c r="AB580" s="218"/>
      <c r="AC580" s="218" t="n">
        <f aca="false">+AB580*$H580</f>
        <v>0</v>
      </c>
      <c r="AD580" s="218" t="n">
        <f aca="false">+R580+V580+X580+Z580+AB580</f>
        <v>2.23</v>
      </c>
      <c r="AE580" s="218" t="n">
        <f aca="false">+AD580*$H580</f>
        <v>793.88</v>
      </c>
    </row>
    <row r="581" customFormat="false" ht="16.5" hidden="true" customHeight="true" outlineLevel="0" collapsed="false">
      <c r="A581" s="102"/>
      <c r="B581" s="117" t="s">
        <v>940</v>
      </c>
      <c r="C581" s="111"/>
      <c r="D581" s="118" t="s">
        <v>518</v>
      </c>
      <c r="E581" s="113" t="s">
        <v>85</v>
      </c>
      <c r="F581" s="119" t="n">
        <v>0</v>
      </c>
      <c r="G581" s="119" t="n">
        <v>0</v>
      </c>
      <c r="H581" s="115" t="n">
        <f aca="false">IFERROR(SUM($F581:$G581),"")</f>
        <v>0</v>
      </c>
      <c r="J581" s="116"/>
      <c r="K581" s="116"/>
      <c r="L581" s="116"/>
      <c r="M581" s="116"/>
      <c r="N581" s="116"/>
      <c r="O581" s="116"/>
      <c r="P581" s="116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</row>
    <row r="582" customFormat="false" ht="16.5" hidden="false" customHeight="true" outlineLevel="0" collapsed="false">
      <c r="A582" s="102"/>
      <c r="B582" s="117" t="s">
        <v>941</v>
      </c>
      <c r="C582" s="111"/>
      <c r="D582" s="118" t="s">
        <v>520</v>
      </c>
      <c r="E582" s="113" t="s">
        <v>85</v>
      </c>
      <c r="F582" s="119" t="n">
        <v>0</v>
      </c>
      <c r="G582" s="119" t="n">
        <v>7</v>
      </c>
      <c r="H582" s="115" t="n">
        <f aca="false">IFERROR(SUM($F582:$G582),"")</f>
        <v>7</v>
      </c>
      <c r="J582" s="120" t="n">
        <v>1.2</v>
      </c>
      <c r="K582" s="121" t="n">
        <f aca="false">+$H582*J582</f>
        <v>8.4</v>
      </c>
      <c r="L582" s="122" t="n">
        <v>6</v>
      </c>
      <c r="M582" s="122" t="n">
        <v>5</v>
      </c>
      <c r="N582" s="121" t="n">
        <f aca="false">+$H582*L582</f>
        <v>42</v>
      </c>
      <c r="O582" s="121" t="n">
        <f aca="false">+$H582*M582</f>
        <v>35</v>
      </c>
      <c r="P582" s="121" t="n">
        <f aca="false">+SUM(N582:O582)</f>
        <v>77</v>
      </c>
      <c r="R582" s="109"/>
      <c r="S582" s="109" t="n">
        <f aca="false">+R582*$H582</f>
        <v>0</v>
      </c>
      <c r="T582" s="109"/>
      <c r="U582" s="109" t="n">
        <f aca="false">+T582*$H582</f>
        <v>0</v>
      </c>
      <c r="V582" s="109" t="n">
        <f aca="false">+T582*$V$11</f>
        <v>0</v>
      </c>
      <c r="W582" s="109" t="n">
        <f aca="false">+V582*$H582</f>
        <v>0</v>
      </c>
      <c r="X582" s="109"/>
      <c r="Y582" s="109" t="n">
        <f aca="false">+X582*$H582</f>
        <v>0</v>
      </c>
      <c r="Z582" s="109"/>
      <c r="AA582" s="109" t="n">
        <f aca="false">+Z582*$H582</f>
        <v>0</v>
      </c>
      <c r="AB582" s="109"/>
      <c r="AC582" s="109" t="n">
        <f aca="false">+AB582*$H582</f>
        <v>0</v>
      </c>
      <c r="AD582" s="109" t="n">
        <f aca="false">+R582+V582+X582+Z582+AB582</f>
        <v>0</v>
      </c>
      <c r="AE582" s="109" t="n">
        <f aca="false">+AD582*$H582</f>
        <v>0</v>
      </c>
    </row>
    <row r="583" customFormat="false" ht="16.5" hidden="true" customHeight="true" outlineLevel="0" collapsed="false">
      <c r="A583" s="102"/>
      <c r="B583" s="117" t="s">
        <v>942</v>
      </c>
      <c r="C583" s="111"/>
      <c r="D583" s="118" t="s">
        <v>522</v>
      </c>
      <c r="E583" s="113" t="s">
        <v>85</v>
      </c>
      <c r="F583" s="119" t="n">
        <v>0</v>
      </c>
      <c r="G583" s="119" t="n">
        <v>0</v>
      </c>
      <c r="H583" s="115" t="n">
        <f aca="false">IFERROR(SUM($F583:$G583),"")</f>
        <v>0</v>
      </c>
      <c r="J583" s="116"/>
      <c r="K583" s="116"/>
      <c r="L583" s="116"/>
      <c r="M583" s="116"/>
      <c r="N583" s="116"/>
      <c r="O583" s="116"/>
      <c r="P583" s="116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</row>
    <row r="584" customFormat="false" ht="16.5" hidden="true" customHeight="true" outlineLevel="0" collapsed="false">
      <c r="A584" s="102"/>
      <c r="B584" s="117" t="s">
        <v>943</v>
      </c>
      <c r="C584" s="111"/>
      <c r="D584" s="118" t="s">
        <v>524</v>
      </c>
      <c r="E584" s="113" t="s">
        <v>85</v>
      </c>
      <c r="F584" s="119" t="n">
        <v>0</v>
      </c>
      <c r="G584" s="119" t="n">
        <v>0</v>
      </c>
      <c r="H584" s="115" t="n">
        <f aca="false">IFERROR(SUM($F584:$G584),"")</f>
        <v>0</v>
      </c>
      <c r="J584" s="116"/>
      <c r="K584" s="116"/>
      <c r="L584" s="116"/>
      <c r="M584" s="116"/>
      <c r="N584" s="116"/>
      <c r="O584" s="116"/>
      <c r="P584" s="116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</row>
    <row r="585" customFormat="false" ht="16.5" hidden="true" customHeight="true" outlineLevel="0" collapsed="false">
      <c r="A585" s="102"/>
      <c r="B585" s="117" t="s">
        <v>944</v>
      </c>
      <c r="C585" s="111"/>
      <c r="D585" s="118" t="s">
        <v>526</v>
      </c>
      <c r="E585" s="113" t="s">
        <v>85</v>
      </c>
      <c r="F585" s="119" t="n">
        <v>0</v>
      </c>
      <c r="G585" s="119" t="n">
        <v>0</v>
      </c>
      <c r="H585" s="115" t="n">
        <f aca="false">IFERROR(SUM($F585:$G585),"")</f>
        <v>0</v>
      </c>
      <c r="J585" s="116"/>
      <c r="K585" s="116"/>
      <c r="L585" s="116"/>
      <c r="M585" s="116"/>
      <c r="N585" s="116"/>
      <c r="O585" s="116"/>
      <c r="P585" s="116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</row>
    <row r="586" customFormat="false" ht="16.5" hidden="true" customHeight="true" outlineLevel="0" collapsed="false">
      <c r="A586" s="102"/>
      <c r="B586" s="117" t="s">
        <v>945</v>
      </c>
      <c r="C586" s="111"/>
      <c r="D586" s="118" t="s">
        <v>528</v>
      </c>
      <c r="E586" s="113" t="s">
        <v>85</v>
      </c>
      <c r="F586" s="119" t="n">
        <v>0</v>
      </c>
      <c r="G586" s="119" t="n">
        <v>0</v>
      </c>
      <c r="H586" s="115" t="n">
        <f aca="false">IFERROR(SUM($F586:$G586),"")</f>
        <v>0</v>
      </c>
      <c r="J586" s="116"/>
      <c r="K586" s="116"/>
      <c r="L586" s="116"/>
      <c r="M586" s="116"/>
      <c r="N586" s="116"/>
      <c r="O586" s="116"/>
      <c r="P586" s="116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</row>
    <row r="587" customFormat="false" ht="16.5" hidden="true" customHeight="true" outlineLevel="0" collapsed="false">
      <c r="A587" s="102"/>
      <c r="B587" s="117" t="s">
        <v>946</v>
      </c>
      <c r="C587" s="111"/>
      <c r="D587" s="163" t="s">
        <v>530</v>
      </c>
      <c r="E587" s="113" t="s">
        <v>85</v>
      </c>
      <c r="F587" s="119" t="n">
        <v>0</v>
      </c>
      <c r="G587" s="119" t="n">
        <v>0</v>
      </c>
      <c r="H587" s="115" t="n">
        <f aca="false">IFERROR(SUM($F587:$G587),"")</f>
        <v>0</v>
      </c>
      <c r="J587" s="116"/>
      <c r="K587" s="116"/>
      <c r="L587" s="116"/>
      <c r="M587" s="116"/>
      <c r="N587" s="116"/>
      <c r="O587" s="116"/>
      <c r="P587" s="116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</row>
    <row r="588" customFormat="false" ht="16.5" hidden="false" customHeight="true" outlineLevel="0" collapsed="false">
      <c r="A588" s="102"/>
      <c r="B588" s="117" t="s">
        <v>947</v>
      </c>
      <c r="C588" s="111"/>
      <c r="D588" s="163" t="s">
        <v>532</v>
      </c>
      <c r="E588" s="113" t="s">
        <v>85</v>
      </c>
      <c r="F588" s="119" t="n">
        <v>39</v>
      </c>
      <c r="G588" s="119" t="n">
        <v>0</v>
      </c>
      <c r="H588" s="115" t="n">
        <f aca="false">IFERROR(SUM($F588:$G588),"")</f>
        <v>39</v>
      </c>
      <c r="J588" s="120" t="n">
        <v>1.2</v>
      </c>
      <c r="K588" s="121" t="n">
        <f aca="false">+$H588*J588</f>
        <v>46.8</v>
      </c>
      <c r="L588" s="122" t="n">
        <v>6</v>
      </c>
      <c r="M588" s="122" t="n">
        <v>4</v>
      </c>
      <c r="N588" s="121" t="n">
        <f aca="false">+$H588*L588</f>
        <v>234</v>
      </c>
      <c r="O588" s="121" t="n">
        <f aca="false">+$H588*M588</f>
        <v>156</v>
      </c>
      <c r="P588" s="121" t="n">
        <f aca="false">+SUM(N588:O588)</f>
        <v>390</v>
      </c>
      <c r="R588" s="109"/>
      <c r="S588" s="109" t="n">
        <f aca="false">+R588*$H588</f>
        <v>0</v>
      </c>
      <c r="T588" s="109"/>
      <c r="U588" s="109" t="n">
        <f aca="false">+T588*$H588</f>
        <v>0</v>
      </c>
      <c r="V588" s="109" t="n">
        <f aca="false">+T588*$V$11</f>
        <v>0</v>
      </c>
      <c r="W588" s="109" t="n">
        <f aca="false">+V588*$H588</f>
        <v>0</v>
      </c>
      <c r="X588" s="109"/>
      <c r="Y588" s="109" t="n">
        <f aca="false">+X588*$H588</f>
        <v>0</v>
      </c>
      <c r="Z588" s="109"/>
      <c r="AA588" s="109" t="n">
        <f aca="false">+Z588*$H588</f>
        <v>0</v>
      </c>
      <c r="AB588" s="109"/>
      <c r="AC588" s="109" t="n">
        <f aca="false">+AB588*$H588</f>
        <v>0</v>
      </c>
      <c r="AD588" s="109" t="n">
        <f aca="false">+R588+V588+X588+Z588+AB588</f>
        <v>0</v>
      </c>
      <c r="AE588" s="109" t="n">
        <f aca="false">+AD588*$H588</f>
        <v>0</v>
      </c>
    </row>
    <row r="589" customFormat="false" ht="16.5" hidden="true" customHeight="true" outlineLevel="0" collapsed="false">
      <c r="A589" s="102"/>
      <c r="B589" s="117" t="s">
        <v>948</v>
      </c>
      <c r="C589" s="111"/>
      <c r="D589" s="118" t="s">
        <v>534</v>
      </c>
      <c r="E589" s="113" t="s">
        <v>85</v>
      </c>
      <c r="F589" s="119" t="n">
        <v>0</v>
      </c>
      <c r="G589" s="119" t="n">
        <v>0</v>
      </c>
      <c r="H589" s="115" t="n">
        <f aca="false">IFERROR(SUM($F589:$G589),"")</f>
        <v>0</v>
      </c>
      <c r="J589" s="116"/>
      <c r="K589" s="116"/>
      <c r="L589" s="116"/>
      <c r="M589" s="116"/>
      <c r="N589" s="116"/>
      <c r="O589" s="116"/>
      <c r="P589" s="116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</row>
    <row r="590" customFormat="false" ht="16.5" hidden="true" customHeight="true" outlineLevel="0" collapsed="false">
      <c r="A590" s="102"/>
      <c r="B590" s="117" t="s">
        <v>949</v>
      </c>
      <c r="C590" s="111"/>
      <c r="D590" s="118" t="s">
        <v>536</v>
      </c>
      <c r="E590" s="113" t="s">
        <v>85</v>
      </c>
      <c r="F590" s="119" t="n">
        <v>0</v>
      </c>
      <c r="G590" s="119" t="n">
        <v>0</v>
      </c>
      <c r="H590" s="115" t="n">
        <f aca="false">IFERROR(SUM($F590:$G590),"")</f>
        <v>0</v>
      </c>
      <c r="J590" s="116"/>
      <c r="K590" s="116"/>
      <c r="L590" s="116"/>
      <c r="M590" s="116"/>
      <c r="N590" s="116"/>
      <c r="O590" s="116"/>
      <c r="P590" s="116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</row>
    <row r="591" customFormat="false" ht="16.5" hidden="true" customHeight="true" outlineLevel="0" collapsed="false">
      <c r="A591" s="102"/>
      <c r="B591" s="117" t="s">
        <v>950</v>
      </c>
      <c r="C591" s="111"/>
      <c r="D591" s="163" t="s">
        <v>538</v>
      </c>
      <c r="E591" s="113" t="s">
        <v>85</v>
      </c>
      <c r="F591" s="119" t="n">
        <v>0</v>
      </c>
      <c r="G591" s="119" t="n">
        <v>0</v>
      </c>
      <c r="H591" s="115" t="n">
        <f aca="false">IFERROR(SUM($F591:$G591),"")</f>
        <v>0</v>
      </c>
      <c r="J591" s="116"/>
      <c r="K591" s="116"/>
      <c r="L591" s="116"/>
      <c r="M591" s="116"/>
      <c r="N591" s="116"/>
      <c r="O591" s="116"/>
      <c r="P591" s="116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</row>
    <row r="592" customFormat="false" ht="16.5" hidden="true" customHeight="true" outlineLevel="0" collapsed="false">
      <c r="A592" s="102"/>
      <c r="B592" s="117" t="s">
        <v>951</v>
      </c>
      <c r="C592" s="111"/>
      <c r="D592" s="163" t="s">
        <v>540</v>
      </c>
      <c r="E592" s="113" t="s">
        <v>85</v>
      </c>
      <c r="F592" s="119" t="n">
        <v>0</v>
      </c>
      <c r="G592" s="119" t="n">
        <v>0</v>
      </c>
      <c r="H592" s="115" t="n">
        <f aca="false">IFERROR(SUM($F592:$G592),"")</f>
        <v>0</v>
      </c>
      <c r="J592" s="116"/>
      <c r="K592" s="116"/>
      <c r="L592" s="116"/>
      <c r="M592" s="116"/>
      <c r="N592" s="116"/>
      <c r="O592" s="116"/>
      <c r="P592" s="116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</row>
    <row r="593" customFormat="false" ht="16.5" hidden="true" customHeight="true" outlineLevel="0" collapsed="false">
      <c r="A593" s="102"/>
      <c r="B593" s="117" t="s">
        <v>952</v>
      </c>
      <c r="C593" s="111"/>
      <c r="D593" s="118" t="s">
        <v>542</v>
      </c>
      <c r="E593" s="113" t="s">
        <v>85</v>
      </c>
      <c r="F593" s="119" t="n">
        <v>0</v>
      </c>
      <c r="G593" s="119" t="n">
        <v>0</v>
      </c>
      <c r="H593" s="115" t="n">
        <f aca="false">IFERROR(SUM($F593:$G593),"")</f>
        <v>0</v>
      </c>
      <c r="J593" s="116"/>
      <c r="K593" s="116"/>
      <c r="L593" s="116"/>
      <c r="M593" s="116"/>
      <c r="N593" s="116"/>
      <c r="O593" s="116"/>
      <c r="P593" s="116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</row>
    <row r="594" customFormat="false" ht="16.5" hidden="true" customHeight="true" outlineLevel="0" collapsed="false">
      <c r="A594" s="102"/>
      <c r="B594" s="117" t="s">
        <v>953</v>
      </c>
      <c r="C594" s="111"/>
      <c r="D594" s="118" t="s">
        <v>544</v>
      </c>
      <c r="E594" s="113" t="s">
        <v>85</v>
      </c>
      <c r="F594" s="119" t="n">
        <v>0</v>
      </c>
      <c r="G594" s="119" t="n">
        <v>0</v>
      </c>
      <c r="H594" s="115" t="n">
        <f aca="false">IFERROR(SUM($F594:$G594),"")</f>
        <v>0</v>
      </c>
      <c r="J594" s="116"/>
      <c r="K594" s="116"/>
      <c r="L594" s="116"/>
      <c r="M594" s="116"/>
      <c r="N594" s="116"/>
      <c r="O594" s="116"/>
      <c r="P594" s="116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</row>
    <row r="595" customFormat="false" ht="16.5" hidden="true" customHeight="true" outlineLevel="0" collapsed="false">
      <c r="A595" s="102"/>
      <c r="B595" s="117" t="s">
        <v>954</v>
      </c>
      <c r="C595" s="111"/>
      <c r="D595" s="118" t="s">
        <v>546</v>
      </c>
      <c r="E595" s="113" t="s">
        <v>85</v>
      </c>
      <c r="F595" s="119" t="n">
        <v>0</v>
      </c>
      <c r="G595" s="119" t="n">
        <v>0</v>
      </c>
      <c r="H595" s="115" t="n">
        <f aca="false">IFERROR(SUM($F595:$G595),"")</f>
        <v>0</v>
      </c>
      <c r="J595" s="116"/>
      <c r="K595" s="116"/>
      <c r="L595" s="116"/>
      <c r="M595" s="116"/>
      <c r="N595" s="116"/>
      <c r="O595" s="116"/>
      <c r="P595" s="116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</row>
    <row r="596" customFormat="false" ht="16.5" hidden="true" customHeight="true" outlineLevel="0" collapsed="false">
      <c r="A596" s="102"/>
      <c r="B596" s="117" t="s">
        <v>955</v>
      </c>
      <c r="C596" s="111"/>
      <c r="D596" s="118" t="s">
        <v>548</v>
      </c>
      <c r="E596" s="113" t="s">
        <v>85</v>
      </c>
      <c r="F596" s="119" t="n">
        <v>0</v>
      </c>
      <c r="G596" s="119" t="n">
        <v>0</v>
      </c>
      <c r="H596" s="115" t="n">
        <f aca="false">IFERROR(SUM($F596:$G596),"")</f>
        <v>0</v>
      </c>
      <c r="J596" s="116"/>
      <c r="K596" s="116"/>
      <c r="L596" s="116"/>
      <c r="M596" s="116"/>
      <c r="N596" s="116"/>
      <c r="O596" s="116"/>
      <c r="P596" s="116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</row>
    <row r="597" customFormat="false" ht="16.5" hidden="true" customHeight="true" outlineLevel="0" collapsed="false">
      <c r="A597" s="102"/>
      <c r="B597" s="117" t="s">
        <v>956</v>
      </c>
      <c r="C597" s="111"/>
      <c r="D597" s="118" t="s">
        <v>550</v>
      </c>
      <c r="E597" s="113" t="s">
        <v>85</v>
      </c>
      <c r="F597" s="119" t="n">
        <v>0</v>
      </c>
      <c r="G597" s="119" t="n">
        <v>0</v>
      </c>
      <c r="H597" s="115" t="n">
        <f aca="false">IFERROR(SUM($F597:$G597),"")</f>
        <v>0</v>
      </c>
      <c r="J597" s="116"/>
      <c r="K597" s="116"/>
      <c r="L597" s="116"/>
      <c r="M597" s="116"/>
      <c r="N597" s="116"/>
      <c r="O597" s="116"/>
      <c r="P597" s="116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</row>
    <row r="598" customFormat="false" ht="16.5" hidden="true" customHeight="true" outlineLevel="0" collapsed="false">
      <c r="A598" s="102"/>
      <c r="B598" s="117" t="s">
        <v>957</v>
      </c>
      <c r="C598" s="111"/>
      <c r="D598" s="118" t="s">
        <v>552</v>
      </c>
      <c r="E598" s="113" t="s">
        <v>85</v>
      </c>
      <c r="F598" s="119" t="n">
        <v>0</v>
      </c>
      <c r="G598" s="119" t="n">
        <v>0</v>
      </c>
      <c r="H598" s="115" t="n">
        <f aca="false">IFERROR(SUM($F598:$G598),"")</f>
        <v>0</v>
      </c>
      <c r="J598" s="116"/>
      <c r="K598" s="116"/>
      <c r="L598" s="116"/>
      <c r="M598" s="116"/>
      <c r="N598" s="116"/>
      <c r="O598" s="116"/>
      <c r="P598" s="116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</row>
    <row r="599" customFormat="false" ht="16.5" hidden="true" customHeight="true" outlineLevel="0" collapsed="false">
      <c r="A599" s="102"/>
      <c r="B599" s="117" t="s">
        <v>958</v>
      </c>
      <c r="C599" s="111"/>
      <c r="D599" s="118" t="s">
        <v>554</v>
      </c>
      <c r="E599" s="113" t="s">
        <v>85</v>
      </c>
      <c r="F599" s="119" t="n">
        <v>0</v>
      </c>
      <c r="G599" s="119" t="n">
        <v>0</v>
      </c>
      <c r="H599" s="115" t="n">
        <f aca="false">IFERROR(SUM($F599:$G599),"")</f>
        <v>0</v>
      </c>
      <c r="J599" s="116"/>
      <c r="K599" s="116"/>
      <c r="L599" s="116"/>
      <c r="M599" s="116"/>
      <c r="N599" s="116"/>
      <c r="O599" s="116"/>
      <c r="P599" s="116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</row>
    <row r="600" customFormat="false" ht="16.5" hidden="true" customHeight="true" outlineLevel="0" collapsed="false">
      <c r="A600" s="102"/>
      <c r="B600" s="117" t="s">
        <v>959</v>
      </c>
      <c r="C600" s="111"/>
      <c r="D600" s="118" t="s">
        <v>556</v>
      </c>
      <c r="E600" s="113" t="s">
        <v>85</v>
      </c>
      <c r="F600" s="119" t="n">
        <v>0</v>
      </c>
      <c r="G600" s="119" t="n">
        <v>0</v>
      </c>
      <c r="H600" s="115" t="n">
        <f aca="false">IFERROR(SUM($F600:$G600),"")</f>
        <v>0</v>
      </c>
      <c r="J600" s="116"/>
      <c r="K600" s="116"/>
      <c r="L600" s="116"/>
      <c r="M600" s="116"/>
      <c r="N600" s="116"/>
      <c r="O600" s="116"/>
      <c r="P600" s="116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</row>
    <row r="601" customFormat="false" ht="16.5" hidden="true" customHeight="true" outlineLevel="0" collapsed="false">
      <c r="A601" s="102"/>
      <c r="B601" s="117" t="s">
        <v>960</v>
      </c>
      <c r="C601" s="111"/>
      <c r="D601" s="118" t="s">
        <v>558</v>
      </c>
      <c r="E601" s="113" t="s">
        <v>85</v>
      </c>
      <c r="F601" s="119" t="n">
        <v>0</v>
      </c>
      <c r="G601" s="119" t="n">
        <v>0</v>
      </c>
      <c r="H601" s="115" t="n">
        <f aca="false">IFERROR(SUM($F601:$G601),"")</f>
        <v>0</v>
      </c>
      <c r="J601" s="116"/>
      <c r="K601" s="116"/>
      <c r="L601" s="116"/>
      <c r="M601" s="116"/>
      <c r="N601" s="116"/>
      <c r="O601" s="116"/>
      <c r="P601" s="116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</row>
    <row r="602" customFormat="false" ht="16.5" hidden="false" customHeight="true" outlineLevel="0" collapsed="false">
      <c r="A602" s="102"/>
      <c r="B602" s="110" t="s">
        <v>961</v>
      </c>
      <c r="C602" s="111"/>
      <c r="D602" s="219" t="s">
        <v>962</v>
      </c>
      <c r="E602" s="113"/>
      <c r="F602" s="119" t="n">
        <v>0</v>
      </c>
      <c r="G602" s="119" t="n">
        <v>0</v>
      </c>
      <c r="H602" s="115" t="n">
        <f aca="false">IFERROR(SUM($F602:$G602),"")</f>
        <v>0</v>
      </c>
      <c r="J602" s="116"/>
      <c r="K602" s="116"/>
      <c r="L602" s="116"/>
      <c r="M602" s="116"/>
      <c r="N602" s="116"/>
      <c r="O602" s="116"/>
      <c r="P602" s="116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</row>
    <row r="603" customFormat="false" ht="16.5" hidden="false" customHeight="true" outlineLevel="0" collapsed="false">
      <c r="A603" s="71"/>
      <c r="B603" s="117" t="s">
        <v>963</v>
      </c>
      <c r="C603" s="111"/>
      <c r="D603" s="163" t="s">
        <v>964</v>
      </c>
      <c r="E603" s="113" t="s">
        <v>85</v>
      </c>
      <c r="F603" s="119" t="n">
        <v>102</v>
      </c>
      <c r="G603" s="119" t="n">
        <v>0</v>
      </c>
      <c r="H603" s="115" t="n">
        <f aca="false">IFERROR(SUM($F603:$G603),"")</f>
        <v>102</v>
      </c>
      <c r="J603" s="120" t="n">
        <v>4</v>
      </c>
      <c r="K603" s="121" t="n">
        <f aca="false">+$H603*J603</f>
        <v>408</v>
      </c>
      <c r="L603" s="122" t="n">
        <v>20</v>
      </c>
      <c r="M603" s="122" t="n">
        <v>250</v>
      </c>
      <c r="N603" s="121" t="n">
        <f aca="false">+$H603*L603</f>
        <v>2040</v>
      </c>
      <c r="O603" s="121" t="n">
        <f aca="false">+$H603*M603</f>
        <v>25500</v>
      </c>
      <c r="P603" s="121" t="n">
        <f aca="false">+SUM(N603:O603)</f>
        <v>27540</v>
      </c>
      <c r="R603" s="109"/>
      <c r="S603" s="109" t="n">
        <f aca="false">+R603*$H603</f>
        <v>0</v>
      </c>
      <c r="T603" s="109"/>
      <c r="U603" s="109" t="n">
        <f aca="false">+T603*$H603</f>
        <v>0</v>
      </c>
      <c r="V603" s="109" t="n">
        <f aca="false">+T603*$V$11</f>
        <v>0</v>
      </c>
      <c r="W603" s="109" t="n">
        <f aca="false">+V603*$H603</f>
        <v>0</v>
      </c>
      <c r="X603" s="109"/>
      <c r="Y603" s="109" t="n">
        <f aca="false">+X603*$H603</f>
        <v>0</v>
      </c>
      <c r="Z603" s="109"/>
      <c r="AA603" s="109" t="n">
        <f aca="false">+Z603*$H603</f>
        <v>0</v>
      </c>
      <c r="AB603" s="109"/>
      <c r="AC603" s="109" t="n">
        <f aca="false">+AB603*$H603</f>
        <v>0</v>
      </c>
      <c r="AD603" s="109" t="n">
        <f aca="false">+R603+V603+X603+Z603+AB603</f>
        <v>0</v>
      </c>
      <c r="AE603" s="109" t="n">
        <f aca="false">+AD603*$H603</f>
        <v>0</v>
      </c>
    </row>
    <row r="604" customFormat="false" ht="16.5" hidden="false" customHeight="true" outlineLevel="0" collapsed="false">
      <c r="A604" s="71"/>
      <c r="B604" s="117" t="s">
        <v>965</v>
      </c>
      <c r="C604" s="111"/>
      <c r="D604" s="118" t="s">
        <v>966</v>
      </c>
      <c r="E604" s="113" t="s">
        <v>85</v>
      </c>
      <c r="F604" s="119" t="n">
        <v>65</v>
      </c>
      <c r="G604" s="119" t="n">
        <v>0</v>
      </c>
      <c r="H604" s="115" t="n">
        <f aca="false">IFERROR(SUM($F604:$G604),"")</f>
        <v>65</v>
      </c>
      <c r="J604" s="120" t="n">
        <v>4.8</v>
      </c>
      <c r="K604" s="121" t="n">
        <f aca="false">+$H604*J604</f>
        <v>312</v>
      </c>
      <c r="L604" s="122" t="n">
        <v>24</v>
      </c>
      <c r="M604" s="122" t="n">
        <v>350</v>
      </c>
      <c r="N604" s="121" t="n">
        <f aca="false">+$H604*L604</f>
        <v>1560</v>
      </c>
      <c r="O604" s="121" t="n">
        <f aca="false">+$H604*M604</f>
        <v>22750</v>
      </c>
      <c r="P604" s="121" t="n">
        <f aca="false">+SUM(N604:O604)</f>
        <v>24310</v>
      </c>
      <c r="R604" s="109"/>
      <c r="S604" s="109" t="n">
        <f aca="false">+R604*$H604</f>
        <v>0</v>
      </c>
      <c r="T604" s="109"/>
      <c r="U604" s="109" t="n">
        <f aca="false">+T604*$H604</f>
        <v>0</v>
      </c>
      <c r="V604" s="109" t="n">
        <f aca="false">+T604*$V$11</f>
        <v>0</v>
      </c>
      <c r="W604" s="109" t="n">
        <f aca="false">+V604*$H604</f>
        <v>0</v>
      </c>
      <c r="X604" s="109"/>
      <c r="Y604" s="109" t="n">
        <f aca="false">+X604*$H604</f>
        <v>0</v>
      </c>
      <c r="Z604" s="109"/>
      <c r="AA604" s="109" t="n">
        <f aca="false">+Z604*$H604</f>
        <v>0</v>
      </c>
      <c r="AB604" s="109"/>
      <c r="AC604" s="109" t="n">
        <f aca="false">+AB604*$H604</f>
        <v>0</v>
      </c>
      <c r="AD604" s="109" t="n">
        <f aca="false">+R604+V604+X604+Z604+AB604</f>
        <v>0</v>
      </c>
      <c r="AE604" s="109" t="n">
        <f aca="false">+AD604*$H604</f>
        <v>0</v>
      </c>
    </row>
    <row r="605" customFormat="false" ht="16.5" hidden="false" customHeight="true" outlineLevel="0" collapsed="false">
      <c r="A605" s="102"/>
      <c r="B605" s="117" t="s">
        <v>967</v>
      </c>
      <c r="C605" s="111"/>
      <c r="D605" s="118" t="s">
        <v>968</v>
      </c>
      <c r="E605" s="113" t="s">
        <v>85</v>
      </c>
      <c r="F605" s="119" t="n">
        <v>81</v>
      </c>
      <c r="G605" s="119" t="n">
        <v>0</v>
      </c>
      <c r="H605" s="115" t="n">
        <f aca="false">IFERROR(SUM($F605:$G605),"")</f>
        <v>81</v>
      </c>
      <c r="J605" s="120" t="n">
        <v>3.2</v>
      </c>
      <c r="K605" s="121" t="n">
        <f aca="false">+$H605*J605</f>
        <v>259.2</v>
      </c>
      <c r="L605" s="122" t="n">
        <v>16</v>
      </c>
      <c r="M605" s="122" t="n">
        <v>200</v>
      </c>
      <c r="N605" s="121" t="n">
        <f aca="false">+$H605*L605</f>
        <v>1296</v>
      </c>
      <c r="O605" s="121" t="n">
        <f aca="false">+$H605*M605</f>
        <v>16200</v>
      </c>
      <c r="P605" s="121" t="n">
        <f aca="false">+SUM(N605:O605)</f>
        <v>17496</v>
      </c>
      <c r="R605" s="109"/>
      <c r="S605" s="109" t="n">
        <f aca="false">+R605*$H605</f>
        <v>0</v>
      </c>
      <c r="T605" s="109"/>
      <c r="U605" s="109" t="n">
        <f aca="false">+T605*$H605</f>
        <v>0</v>
      </c>
      <c r="V605" s="109" t="n">
        <f aca="false">+T605*$V$11</f>
        <v>0</v>
      </c>
      <c r="W605" s="109" t="n">
        <f aca="false">+V605*$H605</f>
        <v>0</v>
      </c>
      <c r="X605" s="109"/>
      <c r="Y605" s="109" t="n">
        <f aca="false">+X605*$H605</f>
        <v>0</v>
      </c>
      <c r="Z605" s="109"/>
      <c r="AA605" s="109" t="n">
        <f aca="false">+Z605*$H605</f>
        <v>0</v>
      </c>
      <c r="AB605" s="109"/>
      <c r="AC605" s="109" t="n">
        <f aca="false">+AB605*$H605</f>
        <v>0</v>
      </c>
      <c r="AD605" s="109" t="n">
        <f aca="false">+R605+V605+X605+Z605+AB605</f>
        <v>0</v>
      </c>
      <c r="AE605" s="109" t="n">
        <f aca="false">+AD605*$H605</f>
        <v>0</v>
      </c>
    </row>
    <row r="606" customFormat="false" ht="16.5" hidden="false" customHeight="true" outlineLevel="0" collapsed="false">
      <c r="A606" s="102"/>
      <c r="B606" s="110" t="s">
        <v>969</v>
      </c>
      <c r="C606" s="111"/>
      <c r="D606" s="123" t="s">
        <v>970</v>
      </c>
      <c r="E606" s="113"/>
      <c r="F606" s="119" t="n">
        <v>0</v>
      </c>
      <c r="G606" s="119" t="n">
        <v>0</v>
      </c>
      <c r="H606" s="115" t="n">
        <f aca="false">IFERROR(SUM($F606:$G606),"")</f>
        <v>0</v>
      </c>
      <c r="J606" s="116"/>
      <c r="K606" s="116"/>
      <c r="L606" s="116"/>
      <c r="M606" s="116"/>
      <c r="N606" s="116"/>
      <c r="O606" s="116"/>
      <c r="P606" s="116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</row>
    <row r="607" customFormat="false" ht="16.5" hidden="true" customHeight="true" outlineLevel="0" collapsed="false">
      <c r="A607" s="102"/>
      <c r="B607" s="117" t="s">
        <v>971</v>
      </c>
      <c r="C607" s="111"/>
      <c r="D607" s="118" t="s">
        <v>972</v>
      </c>
      <c r="E607" s="113" t="s">
        <v>85</v>
      </c>
      <c r="F607" s="119" t="n">
        <v>0</v>
      </c>
      <c r="G607" s="119" t="n">
        <v>0</v>
      </c>
      <c r="H607" s="115" t="n">
        <f aca="false">IFERROR(SUM($F607:$G607),"")</f>
        <v>0</v>
      </c>
      <c r="J607" s="116"/>
      <c r="K607" s="116"/>
      <c r="L607" s="116"/>
      <c r="M607" s="116"/>
      <c r="N607" s="116"/>
      <c r="O607" s="116"/>
      <c r="P607" s="116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</row>
    <row r="608" customFormat="false" ht="16.5" hidden="false" customHeight="true" outlineLevel="0" collapsed="false">
      <c r="A608" s="102"/>
      <c r="B608" s="117" t="s">
        <v>973</v>
      </c>
      <c r="C608" s="111"/>
      <c r="D608" s="118" t="s">
        <v>974</v>
      </c>
      <c r="E608" s="113" t="s">
        <v>85</v>
      </c>
      <c r="F608" s="119" t="n">
        <v>17</v>
      </c>
      <c r="G608" s="119" t="n">
        <v>0</v>
      </c>
      <c r="H608" s="115" t="n">
        <f aca="false">IFERROR(SUM($F608:$G608),"")</f>
        <v>17</v>
      </c>
      <c r="J608" s="120" t="n">
        <v>2.4</v>
      </c>
      <c r="K608" s="121" t="n">
        <f aca="false">+$H608*J608</f>
        <v>40.8</v>
      </c>
      <c r="L608" s="122" t="n">
        <v>12</v>
      </c>
      <c r="M608" s="122" t="n">
        <v>120</v>
      </c>
      <c r="N608" s="121" t="n">
        <f aca="false">+$H608*L608</f>
        <v>204</v>
      </c>
      <c r="O608" s="121" t="n">
        <f aca="false">+$H608*M608</f>
        <v>2040</v>
      </c>
      <c r="P608" s="121" t="n">
        <f aca="false">+SUM(N608:O608)</f>
        <v>2244</v>
      </c>
      <c r="R608" s="109"/>
      <c r="S608" s="109" t="n">
        <f aca="false">+R608*$H608</f>
        <v>0</v>
      </c>
      <c r="T608" s="109"/>
      <c r="U608" s="109" t="n">
        <f aca="false">+T608*$H608</f>
        <v>0</v>
      </c>
      <c r="V608" s="109" t="n">
        <f aca="false">+T608*$V$11</f>
        <v>0</v>
      </c>
      <c r="W608" s="109" t="n">
        <f aca="false">+V608*$H608</f>
        <v>0</v>
      </c>
      <c r="X608" s="109"/>
      <c r="Y608" s="109" t="n">
        <f aca="false">+X608*$H608</f>
        <v>0</v>
      </c>
      <c r="Z608" s="109"/>
      <c r="AA608" s="109" t="n">
        <f aca="false">+Z608*$H608</f>
        <v>0</v>
      </c>
      <c r="AB608" s="109"/>
      <c r="AC608" s="109" t="n">
        <f aca="false">+AB608*$H608</f>
        <v>0</v>
      </c>
      <c r="AD608" s="109" t="n">
        <f aca="false">+R608+V608+X608+Z608+AB608</f>
        <v>0</v>
      </c>
      <c r="AE608" s="109" t="n">
        <f aca="false">+AD608*$H608</f>
        <v>0</v>
      </c>
    </row>
    <row r="609" customFormat="false" ht="16.5" hidden="true" customHeight="true" outlineLevel="0" collapsed="false">
      <c r="A609" s="102"/>
      <c r="B609" s="117" t="s">
        <v>975</v>
      </c>
      <c r="C609" s="111"/>
      <c r="D609" s="118" t="s">
        <v>976</v>
      </c>
      <c r="E609" s="113" t="s">
        <v>85</v>
      </c>
      <c r="F609" s="119" t="n">
        <v>0</v>
      </c>
      <c r="G609" s="119" t="n">
        <v>0</v>
      </c>
      <c r="H609" s="115" t="n">
        <f aca="false">IFERROR(SUM($F609:$G609),"")</f>
        <v>0</v>
      </c>
      <c r="J609" s="116"/>
      <c r="K609" s="116"/>
      <c r="L609" s="116"/>
      <c r="M609" s="116"/>
      <c r="N609" s="116"/>
      <c r="O609" s="116"/>
      <c r="P609" s="116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</row>
    <row r="610" customFormat="false" ht="16.5" hidden="true" customHeight="true" outlineLevel="0" collapsed="false">
      <c r="A610" s="102"/>
      <c r="B610" s="110" t="s">
        <v>977</v>
      </c>
      <c r="C610" s="111"/>
      <c r="D610" s="123" t="s">
        <v>978</v>
      </c>
      <c r="E610" s="113"/>
      <c r="F610" s="119" t="n">
        <v>0</v>
      </c>
      <c r="G610" s="119" t="n">
        <v>0</v>
      </c>
      <c r="H610" s="115" t="n">
        <f aca="false">IFERROR(SUM($F610:$G610),"")</f>
        <v>0</v>
      </c>
      <c r="J610" s="116"/>
      <c r="K610" s="116"/>
      <c r="L610" s="116"/>
      <c r="M610" s="116"/>
      <c r="N610" s="116"/>
      <c r="O610" s="116"/>
      <c r="P610" s="116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</row>
    <row r="611" customFormat="false" ht="16.5" hidden="true" customHeight="true" outlineLevel="0" collapsed="false">
      <c r="A611" s="102"/>
      <c r="B611" s="117" t="s">
        <v>979</v>
      </c>
      <c r="C611" s="111"/>
      <c r="D611" s="118" t="s">
        <v>328</v>
      </c>
      <c r="E611" s="113" t="s">
        <v>85</v>
      </c>
      <c r="F611" s="119" t="n">
        <v>0</v>
      </c>
      <c r="G611" s="119" t="n">
        <v>0</v>
      </c>
      <c r="H611" s="115" t="n">
        <f aca="false">IFERROR(SUM($F611:$G611),"")</f>
        <v>0</v>
      </c>
      <c r="J611" s="116"/>
      <c r="K611" s="116"/>
      <c r="L611" s="116"/>
      <c r="M611" s="116"/>
      <c r="N611" s="116"/>
      <c r="O611" s="116"/>
      <c r="P611" s="116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</row>
    <row r="612" customFormat="false" ht="16.5" hidden="true" customHeight="true" outlineLevel="0" collapsed="false">
      <c r="A612" s="102"/>
      <c r="B612" s="117" t="s">
        <v>980</v>
      </c>
      <c r="C612" s="111"/>
      <c r="D612" s="118" t="s">
        <v>330</v>
      </c>
      <c r="E612" s="113" t="s">
        <v>85</v>
      </c>
      <c r="F612" s="119" t="n">
        <v>0</v>
      </c>
      <c r="G612" s="119" t="n">
        <v>0</v>
      </c>
      <c r="H612" s="115" t="n">
        <f aca="false">IFERROR(SUM($F612:$G612),"")</f>
        <v>0</v>
      </c>
      <c r="J612" s="116"/>
      <c r="K612" s="116"/>
      <c r="L612" s="116"/>
      <c r="M612" s="116"/>
      <c r="N612" s="116"/>
      <c r="O612" s="116"/>
      <c r="P612" s="116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</row>
    <row r="613" customFormat="false" ht="16.5" hidden="true" customHeight="true" outlineLevel="0" collapsed="false">
      <c r="A613" s="102"/>
      <c r="B613" s="117" t="s">
        <v>981</v>
      </c>
      <c r="C613" s="111"/>
      <c r="D613" s="118" t="s">
        <v>332</v>
      </c>
      <c r="E613" s="113" t="s">
        <v>85</v>
      </c>
      <c r="F613" s="119" t="n">
        <v>0</v>
      </c>
      <c r="G613" s="119" t="n">
        <v>0</v>
      </c>
      <c r="H613" s="115" t="n">
        <f aca="false">IFERROR(SUM($F613:$G613),"")</f>
        <v>0</v>
      </c>
      <c r="J613" s="116"/>
      <c r="K613" s="116"/>
      <c r="L613" s="116"/>
      <c r="M613" s="116"/>
      <c r="N613" s="116"/>
      <c r="O613" s="116"/>
      <c r="P613" s="116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</row>
    <row r="614" customFormat="false" ht="16.5" hidden="true" customHeight="true" outlineLevel="0" collapsed="false">
      <c r="A614" s="102"/>
      <c r="B614" s="117" t="s">
        <v>982</v>
      </c>
      <c r="C614" s="111"/>
      <c r="D614" s="118" t="s">
        <v>334</v>
      </c>
      <c r="E614" s="113" t="s">
        <v>85</v>
      </c>
      <c r="F614" s="119" t="n">
        <v>0</v>
      </c>
      <c r="G614" s="119" t="n">
        <v>0</v>
      </c>
      <c r="H614" s="115" t="n">
        <f aca="false">IFERROR(SUM($F614:$G614),"")</f>
        <v>0</v>
      </c>
      <c r="J614" s="116"/>
      <c r="K614" s="116"/>
      <c r="L614" s="116"/>
      <c r="M614" s="116"/>
      <c r="N614" s="116"/>
      <c r="O614" s="116"/>
      <c r="P614" s="116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</row>
    <row r="615" customFormat="false" ht="16.5" hidden="true" customHeight="true" outlineLevel="0" collapsed="false">
      <c r="A615" s="102"/>
      <c r="B615" s="117" t="s">
        <v>983</v>
      </c>
      <c r="C615" s="111"/>
      <c r="D615" s="118" t="s">
        <v>336</v>
      </c>
      <c r="E615" s="113" t="s">
        <v>85</v>
      </c>
      <c r="F615" s="119" t="n">
        <v>0</v>
      </c>
      <c r="G615" s="119" t="n">
        <v>0</v>
      </c>
      <c r="H615" s="115" t="n">
        <f aca="false">IFERROR(SUM($F615:$G615),"")</f>
        <v>0</v>
      </c>
      <c r="J615" s="116"/>
      <c r="K615" s="116"/>
      <c r="L615" s="116"/>
      <c r="M615" s="116"/>
      <c r="N615" s="116"/>
      <c r="O615" s="116"/>
      <c r="P615" s="116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</row>
    <row r="616" customFormat="false" ht="16.5" hidden="true" customHeight="true" outlineLevel="0" collapsed="false">
      <c r="A616" s="102"/>
      <c r="B616" s="117" t="s">
        <v>984</v>
      </c>
      <c r="C616" s="111"/>
      <c r="D616" s="118" t="s">
        <v>338</v>
      </c>
      <c r="E616" s="113" t="s">
        <v>85</v>
      </c>
      <c r="F616" s="119" t="n">
        <v>0</v>
      </c>
      <c r="G616" s="119" t="n">
        <v>0</v>
      </c>
      <c r="H616" s="115" t="n">
        <f aca="false">IFERROR(SUM($F616:$G616),"")</f>
        <v>0</v>
      </c>
      <c r="J616" s="116"/>
      <c r="K616" s="116"/>
      <c r="L616" s="116"/>
      <c r="M616" s="116"/>
      <c r="N616" s="116"/>
      <c r="O616" s="116"/>
      <c r="P616" s="116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</row>
    <row r="617" customFormat="false" ht="16.5" hidden="true" customHeight="true" outlineLevel="0" collapsed="false">
      <c r="A617" s="102"/>
      <c r="B617" s="117" t="s">
        <v>985</v>
      </c>
      <c r="C617" s="111"/>
      <c r="D617" s="118" t="s">
        <v>340</v>
      </c>
      <c r="E617" s="113" t="s">
        <v>85</v>
      </c>
      <c r="F617" s="119" t="n">
        <v>0</v>
      </c>
      <c r="G617" s="119" t="n">
        <v>0</v>
      </c>
      <c r="H617" s="115" t="n">
        <f aca="false">IFERROR(SUM($F617:$G617),"")</f>
        <v>0</v>
      </c>
      <c r="J617" s="116"/>
      <c r="K617" s="116"/>
      <c r="L617" s="116"/>
      <c r="M617" s="116"/>
      <c r="N617" s="116"/>
      <c r="O617" s="116"/>
      <c r="P617" s="116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</row>
    <row r="618" customFormat="false" ht="16.5" hidden="true" customHeight="true" outlineLevel="0" collapsed="false">
      <c r="A618" s="102"/>
      <c r="B618" s="117" t="s">
        <v>986</v>
      </c>
      <c r="C618" s="111"/>
      <c r="D618" s="118" t="s">
        <v>342</v>
      </c>
      <c r="E618" s="113" t="s">
        <v>85</v>
      </c>
      <c r="F618" s="119" t="n">
        <v>0</v>
      </c>
      <c r="G618" s="119" t="n">
        <v>0</v>
      </c>
      <c r="H618" s="115" t="n">
        <f aca="false">IFERROR(SUM($F618:$G618),"")</f>
        <v>0</v>
      </c>
      <c r="J618" s="116"/>
      <c r="K618" s="116"/>
      <c r="L618" s="116"/>
      <c r="M618" s="116"/>
      <c r="N618" s="116"/>
      <c r="O618" s="116"/>
      <c r="P618" s="116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</row>
    <row r="619" customFormat="false" ht="16.5" hidden="true" customHeight="true" outlineLevel="0" collapsed="false">
      <c r="A619" s="102"/>
      <c r="B619" s="117" t="s">
        <v>987</v>
      </c>
      <c r="C619" s="111"/>
      <c r="D619" s="118" t="s">
        <v>344</v>
      </c>
      <c r="E619" s="113" t="s">
        <v>85</v>
      </c>
      <c r="F619" s="119" t="n">
        <v>0</v>
      </c>
      <c r="G619" s="119" t="n">
        <v>0</v>
      </c>
      <c r="H619" s="115" t="n">
        <f aca="false">IFERROR(SUM($F619:$G619),"")</f>
        <v>0</v>
      </c>
      <c r="J619" s="116"/>
      <c r="K619" s="116"/>
      <c r="L619" s="116"/>
      <c r="M619" s="116"/>
      <c r="N619" s="116"/>
      <c r="O619" s="116"/>
      <c r="P619" s="116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</row>
    <row r="620" customFormat="false" ht="16.5" hidden="true" customHeight="true" outlineLevel="0" collapsed="false">
      <c r="A620" s="102"/>
      <c r="B620" s="117" t="s">
        <v>988</v>
      </c>
      <c r="C620" s="111"/>
      <c r="D620" s="118" t="s">
        <v>346</v>
      </c>
      <c r="E620" s="113" t="s">
        <v>85</v>
      </c>
      <c r="F620" s="119" t="n">
        <v>0</v>
      </c>
      <c r="G620" s="119" t="n">
        <v>0</v>
      </c>
      <c r="H620" s="115" t="n">
        <f aca="false">IFERROR(SUM($F620:$G620),"")</f>
        <v>0</v>
      </c>
      <c r="J620" s="116"/>
      <c r="K620" s="116"/>
      <c r="L620" s="116"/>
      <c r="M620" s="116"/>
      <c r="N620" s="116"/>
      <c r="O620" s="116"/>
      <c r="P620" s="116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</row>
    <row r="621" customFormat="false" ht="16.5" hidden="true" customHeight="true" outlineLevel="0" collapsed="false">
      <c r="A621" s="102"/>
      <c r="B621" s="117" t="s">
        <v>989</v>
      </c>
      <c r="C621" s="111"/>
      <c r="D621" s="118" t="s">
        <v>348</v>
      </c>
      <c r="E621" s="113" t="s">
        <v>85</v>
      </c>
      <c r="F621" s="119" t="n">
        <v>0</v>
      </c>
      <c r="G621" s="119" t="n">
        <v>0</v>
      </c>
      <c r="H621" s="115" t="n">
        <f aca="false">IFERROR(SUM($F621:$G621),"")</f>
        <v>0</v>
      </c>
      <c r="J621" s="116"/>
      <c r="K621" s="116"/>
      <c r="L621" s="116"/>
      <c r="M621" s="116"/>
      <c r="N621" s="116"/>
      <c r="O621" s="116"/>
      <c r="P621" s="116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</row>
    <row r="622" customFormat="false" ht="16.5" hidden="true" customHeight="true" outlineLevel="0" collapsed="false">
      <c r="A622" s="102"/>
      <c r="B622" s="117" t="s">
        <v>990</v>
      </c>
      <c r="C622" s="111"/>
      <c r="D622" s="118" t="s">
        <v>350</v>
      </c>
      <c r="E622" s="113" t="s">
        <v>85</v>
      </c>
      <c r="F622" s="119" t="n">
        <v>0</v>
      </c>
      <c r="G622" s="119" t="n">
        <v>0</v>
      </c>
      <c r="H622" s="115" t="n">
        <f aca="false">IFERROR(SUM($F622:$G622),"")</f>
        <v>0</v>
      </c>
      <c r="J622" s="116"/>
      <c r="K622" s="116"/>
      <c r="L622" s="116"/>
      <c r="M622" s="116"/>
      <c r="N622" s="116"/>
      <c r="O622" s="116"/>
      <c r="P622" s="116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</row>
    <row r="623" customFormat="false" ht="16.5" hidden="true" customHeight="true" outlineLevel="0" collapsed="false">
      <c r="A623" s="102"/>
      <c r="B623" s="117" t="s">
        <v>991</v>
      </c>
      <c r="C623" s="111"/>
      <c r="D623" s="118" t="s">
        <v>352</v>
      </c>
      <c r="E623" s="113" t="s">
        <v>85</v>
      </c>
      <c r="F623" s="119" t="n">
        <v>0</v>
      </c>
      <c r="G623" s="119" t="n">
        <v>0</v>
      </c>
      <c r="H623" s="115" t="n">
        <f aca="false">IFERROR(SUM($F623:$G623),"")</f>
        <v>0</v>
      </c>
      <c r="J623" s="116"/>
      <c r="K623" s="116"/>
      <c r="L623" s="116"/>
      <c r="M623" s="116"/>
      <c r="N623" s="116"/>
      <c r="O623" s="116"/>
      <c r="P623" s="116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</row>
    <row r="624" customFormat="false" ht="16.5" hidden="true" customHeight="true" outlineLevel="0" collapsed="false">
      <c r="A624" s="102"/>
      <c r="B624" s="117" t="s">
        <v>992</v>
      </c>
      <c r="C624" s="111"/>
      <c r="D624" s="118" t="s">
        <v>354</v>
      </c>
      <c r="E624" s="113" t="s">
        <v>85</v>
      </c>
      <c r="F624" s="119" t="n">
        <v>0</v>
      </c>
      <c r="G624" s="119" t="n">
        <v>0</v>
      </c>
      <c r="H624" s="115" t="n">
        <f aca="false">IFERROR(SUM($F624:$G624),"")</f>
        <v>0</v>
      </c>
      <c r="J624" s="116"/>
      <c r="K624" s="116"/>
      <c r="L624" s="116"/>
      <c r="M624" s="116"/>
      <c r="N624" s="116"/>
      <c r="O624" s="116"/>
      <c r="P624" s="116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</row>
    <row r="625" customFormat="false" ht="16.5" hidden="true" customHeight="true" outlineLevel="0" collapsed="false">
      <c r="A625" s="102"/>
      <c r="B625" s="110" t="s">
        <v>993</v>
      </c>
      <c r="C625" s="111"/>
      <c r="D625" s="123" t="s">
        <v>994</v>
      </c>
      <c r="E625" s="113"/>
      <c r="F625" s="119" t="n">
        <v>0</v>
      </c>
      <c r="G625" s="119" t="n">
        <v>0</v>
      </c>
      <c r="H625" s="115" t="n">
        <f aca="false">IFERROR(SUM($F625:$G625),"")</f>
        <v>0</v>
      </c>
      <c r="J625" s="116"/>
      <c r="K625" s="116"/>
      <c r="L625" s="116"/>
      <c r="M625" s="116"/>
      <c r="N625" s="116"/>
      <c r="O625" s="116"/>
      <c r="P625" s="116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</row>
    <row r="626" customFormat="false" ht="16.5" hidden="true" customHeight="true" outlineLevel="0" collapsed="false">
      <c r="A626" s="102"/>
      <c r="B626" s="117" t="s">
        <v>995</v>
      </c>
      <c r="C626" s="111"/>
      <c r="D626" s="118" t="s">
        <v>996</v>
      </c>
      <c r="E626" s="113" t="s">
        <v>85</v>
      </c>
      <c r="F626" s="119" t="n">
        <v>0</v>
      </c>
      <c r="G626" s="119" t="n">
        <v>0</v>
      </c>
      <c r="H626" s="115" t="n">
        <f aca="false">IFERROR(SUM($F626:$G626),"")</f>
        <v>0</v>
      </c>
      <c r="J626" s="116"/>
      <c r="K626" s="116"/>
      <c r="L626" s="116"/>
      <c r="M626" s="116"/>
      <c r="N626" s="116"/>
      <c r="O626" s="116"/>
      <c r="P626" s="116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</row>
    <row r="627" customFormat="false" ht="16.5" hidden="true" customHeight="true" outlineLevel="0" collapsed="false">
      <c r="A627" s="102"/>
      <c r="B627" s="117" t="s">
        <v>997</v>
      </c>
      <c r="C627" s="111"/>
      <c r="D627" s="118" t="s">
        <v>998</v>
      </c>
      <c r="E627" s="113" t="s">
        <v>85</v>
      </c>
      <c r="F627" s="119" t="n">
        <v>0</v>
      </c>
      <c r="G627" s="119" t="n">
        <v>0</v>
      </c>
      <c r="H627" s="115" t="n">
        <f aca="false">IFERROR(SUM($F627:$G627),"")</f>
        <v>0</v>
      </c>
      <c r="J627" s="116"/>
      <c r="K627" s="116"/>
      <c r="L627" s="116"/>
      <c r="M627" s="116"/>
      <c r="N627" s="116"/>
      <c r="O627" s="116"/>
      <c r="P627" s="116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</row>
    <row r="628" customFormat="false" ht="16.5" hidden="true" customHeight="true" outlineLevel="0" collapsed="false">
      <c r="A628" s="102"/>
      <c r="B628" s="117" t="s">
        <v>999</v>
      </c>
      <c r="C628" s="111"/>
      <c r="D628" s="118" t="s">
        <v>1000</v>
      </c>
      <c r="E628" s="113" t="s">
        <v>85</v>
      </c>
      <c r="F628" s="119" t="n">
        <v>0</v>
      </c>
      <c r="G628" s="119" t="n">
        <v>0</v>
      </c>
      <c r="H628" s="115" t="n">
        <f aca="false">IFERROR(SUM($F628:$G628),"")</f>
        <v>0</v>
      </c>
      <c r="J628" s="116"/>
      <c r="K628" s="116"/>
      <c r="L628" s="116"/>
      <c r="M628" s="116"/>
      <c r="N628" s="116"/>
      <c r="O628" s="116"/>
      <c r="P628" s="116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</row>
    <row r="629" customFormat="false" ht="16.5" hidden="true" customHeight="true" outlineLevel="0" collapsed="false">
      <c r="A629" s="150"/>
      <c r="B629" s="117" t="s">
        <v>1001</v>
      </c>
      <c r="C629" s="111"/>
      <c r="D629" s="118" t="s">
        <v>1002</v>
      </c>
      <c r="E629" s="113" t="s">
        <v>85</v>
      </c>
      <c r="F629" s="119" t="n">
        <v>0</v>
      </c>
      <c r="G629" s="119" t="n">
        <v>0</v>
      </c>
      <c r="H629" s="115" t="n">
        <f aca="false">IFERROR(SUM($F629:$G629),"")</f>
        <v>0</v>
      </c>
      <c r="J629" s="116"/>
      <c r="K629" s="116"/>
      <c r="L629" s="116"/>
      <c r="M629" s="116"/>
      <c r="N629" s="116"/>
      <c r="O629" s="116"/>
      <c r="P629" s="116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</row>
    <row r="630" customFormat="false" ht="16.5" hidden="true" customHeight="true" outlineLevel="0" collapsed="false">
      <c r="A630" s="150"/>
      <c r="B630" s="117" t="s">
        <v>1003</v>
      </c>
      <c r="C630" s="111"/>
      <c r="D630" s="118" t="s">
        <v>1004</v>
      </c>
      <c r="E630" s="113" t="s">
        <v>85</v>
      </c>
      <c r="F630" s="119" t="n">
        <v>0</v>
      </c>
      <c r="G630" s="119" t="n">
        <v>0</v>
      </c>
      <c r="H630" s="115" t="n">
        <f aca="false">IFERROR(SUM($F630:$G630),"")</f>
        <v>0</v>
      </c>
      <c r="J630" s="116"/>
      <c r="K630" s="116"/>
      <c r="L630" s="116"/>
      <c r="M630" s="116"/>
      <c r="N630" s="116"/>
      <c r="O630" s="116"/>
      <c r="P630" s="116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</row>
    <row r="631" customFormat="false" ht="16.5" hidden="true" customHeight="true" outlineLevel="0" collapsed="false">
      <c r="A631" s="102"/>
      <c r="B631" s="110" t="s">
        <v>1005</v>
      </c>
      <c r="C631" s="111"/>
      <c r="D631" s="123" t="s">
        <v>1006</v>
      </c>
      <c r="E631" s="113"/>
      <c r="F631" s="119" t="n">
        <v>0</v>
      </c>
      <c r="G631" s="119" t="n">
        <v>0</v>
      </c>
      <c r="H631" s="115" t="n">
        <f aca="false">IFERROR(SUM($F631:$G631),"")</f>
        <v>0</v>
      </c>
      <c r="J631" s="116"/>
      <c r="K631" s="116"/>
      <c r="L631" s="116"/>
      <c r="M631" s="116"/>
      <c r="N631" s="116"/>
      <c r="O631" s="116"/>
      <c r="P631" s="116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</row>
    <row r="632" customFormat="false" ht="16.5" hidden="true" customHeight="true" outlineLevel="0" collapsed="false">
      <c r="A632" s="102"/>
      <c r="B632" s="117" t="s">
        <v>1007</v>
      </c>
      <c r="C632" s="111"/>
      <c r="D632" s="118" t="s">
        <v>1008</v>
      </c>
      <c r="E632" s="113" t="s">
        <v>85</v>
      </c>
      <c r="F632" s="119" t="n">
        <v>0</v>
      </c>
      <c r="G632" s="119" t="n">
        <v>0</v>
      </c>
      <c r="H632" s="115" t="n">
        <f aca="false">IFERROR(SUM($F632:$G632),"")</f>
        <v>0</v>
      </c>
      <c r="J632" s="116"/>
      <c r="K632" s="116"/>
      <c r="L632" s="116"/>
      <c r="M632" s="116"/>
      <c r="N632" s="116"/>
      <c r="O632" s="116"/>
      <c r="P632" s="116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</row>
    <row r="633" customFormat="false" ht="16.5" hidden="true" customHeight="true" outlineLevel="0" collapsed="false">
      <c r="A633" s="102"/>
      <c r="B633" s="117" t="s">
        <v>1009</v>
      </c>
      <c r="C633" s="111"/>
      <c r="D633" s="118" t="s">
        <v>1010</v>
      </c>
      <c r="E633" s="113" t="s">
        <v>85</v>
      </c>
      <c r="F633" s="119" t="n">
        <v>0</v>
      </c>
      <c r="G633" s="119" t="n">
        <v>0</v>
      </c>
      <c r="H633" s="115" t="n">
        <f aca="false">IFERROR(SUM($F633:$G633),"")</f>
        <v>0</v>
      </c>
      <c r="J633" s="116"/>
      <c r="K633" s="116"/>
      <c r="L633" s="116"/>
      <c r="M633" s="116"/>
      <c r="N633" s="116"/>
      <c r="O633" s="116"/>
      <c r="P633" s="116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</row>
    <row r="634" customFormat="false" ht="16.5" hidden="true" customHeight="true" outlineLevel="0" collapsed="false">
      <c r="A634" s="102"/>
      <c r="B634" s="117" t="s">
        <v>1011</v>
      </c>
      <c r="C634" s="111"/>
      <c r="D634" s="118" t="s">
        <v>1012</v>
      </c>
      <c r="E634" s="113" t="s">
        <v>85</v>
      </c>
      <c r="F634" s="119" t="n">
        <v>0</v>
      </c>
      <c r="G634" s="119" t="n">
        <v>0</v>
      </c>
      <c r="H634" s="115" t="n">
        <f aca="false">IFERROR(SUM($F634:$G634),"")</f>
        <v>0</v>
      </c>
      <c r="J634" s="116"/>
      <c r="K634" s="116"/>
      <c r="L634" s="116"/>
      <c r="M634" s="116"/>
      <c r="N634" s="116"/>
      <c r="O634" s="116"/>
      <c r="P634" s="116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</row>
    <row r="635" customFormat="false" ht="16.5" hidden="true" customHeight="true" outlineLevel="0" collapsed="false">
      <c r="A635" s="102"/>
      <c r="B635" s="117" t="s">
        <v>1013</v>
      </c>
      <c r="C635" s="111"/>
      <c r="D635" s="118" t="s">
        <v>1014</v>
      </c>
      <c r="E635" s="113" t="s">
        <v>85</v>
      </c>
      <c r="F635" s="119" t="n">
        <v>0</v>
      </c>
      <c r="G635" s="119" t="n">
        <v>0</v>
      </c>
      <c r="H635" s="115" t="n">
        <f aca="false">IFERROR(SUM($F635:$G635),"")</f>
        <v>0</v>
      </c>
      <c r="J635" s="116"/>
      <c r="K635" s="116"/>
      <c r="L635" s="116"/>
      <c r="M635" s="116"/>
      <c r="N635" s="116"/>
      <c r="O635" s="116"/>
      <c r="P635" s="116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</row>
    <row r="636" customFormat="false" ht="16.5" hidden="true" customHeight="true" outlineLevel="0" collapsed="false">
      <c r="A636" s="102"/>
      <c r="B636" s="117" t="s">
        <v>1015</v>
      </c>
      <c r="C636" s="111"/>
      <c r="D636" s="118" t="s">
        <v>1016</v>
      </c>
      <c r="E636" s="113" t="s">
        <v>85</v>
      </c>
      <c r="F636" s="119" t="n">
        <v>0</v>
      </c>
      <c r="G636" s="119" t="n">
        <v>0</v>
      </c>
      <c r="H636" s="115" t="n">
        <f aca="false">IFERROR(SUM($F636:$G636),"")</f>
        <v>0</v>
      </c>
      <c r="J636" s="116"/>
      <c r="K636" s="116"/>
      <c r="L636" s="116"/>
      <c r="M636" s="116"/>
      <c r="N636" s="116"/>
      <c r="O636" s="116"/>
      <c r="P636" s="116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</row>
    <row r="637" customFormat="false" ht="16.5" hidden="true" customHeight="true" outlineLevel="0" collapsed="false">
      <c r="A637" s="102"/>
      <c r="B637" s="117" t="s">
        <v>1017</v>
      </c>
      <c r="C637" s="111"/>
      <c r="D637" s="118" t="s">
        <v>1018</v>
      </c>
      <c r="E637" s="113" t="s">
        <v>85</v>
      </c>
      <c r="F637" s="119" t="n">
        <v>0</v>
      </c>
      <c r="G637" s="119" t="n">
        <v>0</v>
      </c>
      <c r="H637" s="115" t="n">
        <f aca="false">IFERROR(SUM($F637:$G637),"")</f>
        <v>0</v>
      </c>
      <c r="J637" s="116"/>
      <c r="K637" s="116"/>
      <c r="L637" s="116"/>
      <c r="M637" s="116"/>
      <c r="N637" s="116"/>
      <c r="O637" s="116"/>
      <c r="P637" s="116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</row>
    <row r="638" customFormat="false" ht="16.5" hidden="true" customHeight="true" outlineLevel="0" collapsed="false">
      <c r="A638" s="102"/>
      <c r="B638" s="117" t="s">
        <v>1019</v>
      </c>
      <c r="C638" s="111"/>
      <c r="D638" s="118" t="s">
        <v>1020</v>
      </c>
      <c r="E638" s="113" t="s">
        <v>85</v>
      </c>
      <c r="F638" s="119" t="n">
        <v>0</v>
      </c>
      <c r="G638" s="119" t="n">
        <v>0</v>
      </c>
      <c r="H638" s="115" t="n">
        <f aca="false">IFERROR(SUM($F638:$G638),"")</f>
        <v>0</v>
      </c>
      <c r="J638" s="116"/>
      <c r="K638" s="116"/>
      <c r="L638" s="116"/>
      <c r="M638" s="116"/>
      <c r="N638" s="116"/>
      <c r="O638" s="116"/>
      <c r="P638" s="116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</row>
    <row r="639" customFormat="false" ht="16.5" hidden="true" customHeight="true" outlineLevel="0" collapsed="false">
      <c r="A639" s="102"/>
      <c r="B639" s="117" t="s">
        <v>1021</v>
      </c>
      <c r="C639" s="111"/>
      <c r="D639" s="118" t="s">
        <v>1022</v>
      </c>
      <c r="E639" s="113" t="s">
        <v>85</v>
      </c>
      <c r="F639" s="119" t="n">
        <v>0</v>
      </c>
      <c r="G639" s="119" t="n">
        <v>0</v>
      </c>
      <c r="H639" s="115" t="n">
        <f aca="false">IFERROR(SUM($F639:$G639),"")</f>
        <v>0</v>
      </c>
      <c r="J639" s="116"/>
      <c r="K639" s="116"/>
      <c r="L639" s="116"/>
      <c r="M639" s="116"/>
      <c r="N639" s="116"/>
      <c r="O639" s="116"/>
      <c r="P639" s="116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</row>
    <row r="640" customFormat="false" ht="16.5" hidden="true" customHeight="true" outlineLevel="0" collapsed="false">
      <c r="A640" s="102"/>
      <c r="B640" s="117" t="s">
        <v>1023</v>
      </c>
      <c r="C640" s="111"/>
      <c r="D640" s="118" t="s">
        <v>1024</v>
      </c>
      <c r="E640" s="113" t="s">
        <v>85</v>
      </c>
      <c r="F640" s="119" t="n">
        <v>0</v>
      </c>
      <c r="G640" s="119" t="n">
        <v>0</v>
      </c>
      <c r="H640" s="115" t="n">
        <f aca="false">IFERROR(SUM($F640:$G640),"")</f>
        <v>0</v>
      </c>
      <c r="J640" s="116"/>
      <c r="K640" s="116"/>
      <c r="L640" s="116"/>
      <c r="M640" s="116"/>
      <c r="N640" s="116"/>
      <c r="O640" s="116"/>
      <c r="P640" s="116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</row>
    <row r="641" customFormat="false" ht="16.5" hidden="true" customHeight="true" outlineLevel="0" collapsed="false">
      <c r="A641" s="102"/>
      <c r="B641" s="117" t="s">
        <v>1025</v>
      </c>
      <c r="C641" s="111"/>
      <c r="D641" s="118" t="s">
        <v>1026</v>
      </c>
      <c r="E641" s="113" t="s">
        <v>85</v>
      </c>
      <c r="F641" s="119" t="n">
        <v>0</v>
      </c>
      <c r="G641" s="119" t="n">
        <v>0</v>
      </c>
      <c r="H641" s="115" t="n">
        <f aca="false">IFERROR(SUM($F641:$G641),"")</f>
        <v>0</v>
      </c>
      <c r="J641" s="116"/>
      <c r="K641" s="116"/>
      <c r="L641" s="116"/>
      <c r="M641" s="116"/>
      <c r="N641" s="116"/>
      <c r="O641" s="116"/>
      <c r="P641" s="116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</row>
    <row r="642" customFormat="false" ht="16.5" hidden="true" customHeight="true" outlineLevel="0" collapsed="false">
      <c r="A642" s="102"/>
      <c r="B642" s="110" t="s">
        <v>1027</v>
      </c>
      <c r="C642" s="111"/>
      <c r="D642" s="123" t="s">
        <v>1028</v>
      </c>
      <c r="E642" s="113"/>
      <c r="F642" s="119" t="n">
        <v>0</v>
      </c>
      <c r="G642" s="119" t="n">
        <v>0</v>
      </c>
      <c r="H642" s="115" t="n">
        <f aca="false">IFERROR(SUM($F642:$G642),"")</f>
        <v>0</v>
      </c>
      <c r="J642" s="116"/>
      <c r="K642" s="116"/>
      <c r="L642" s="116"/>
      <c r="M642" s="116"/>
      <c r="N642" s="116"/>
      <c r="O642" s="116"/>
      <c r="P642" s="116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</row>
    <row r="643" customFormat="false" ht="16.5" hidden="true" customHeight="true" outlineLevel="0" collapsed="false">
      <c r="A643" s="102"/>
      <c r="B643" s="117" t="s">
        <v>1029</v>
      </c>
      <c r="C643" s="111"/>
      <c r="D643" s="118" t="s">
        <v>1030</v>
      </c>
      <c r="E643" s="113" t="s">
        <v>85</v>
      </c>
      <c r="F643" s="119" t="n">
        <v>0</v>
      </c>
      <c r="G643" s="119" t="n">
        <v>0</v>
      </c>
      <c r="H643" s="115" t="n">
        <f aca="false">IFERROR(SUM($F643:$G643),"")</f>
        <v>0</v>
      </c>
      <c r="J643" s="116"/>
      <c r="K643" s="116"/>
      <c r="L643" s="116"/>
      <c r="M643" s="116"/>
      <c r="N643" s="116"/>
      <c r="O643" s="116"/>
      <c r="P643" s="116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</row>
    <row r="644" customFormat="false" ht="16.5" hidden="true" customHeight="true" outlineLevel="0" collapsed="false">
      <c r="A644" s="102"/>
      <c r="B644" s="117" t="s">
        <v>1031</v>
      </c>
      <c r="C644" s="111"/>
      <c r="D644" s="163" t="s">
        <v>1032</v>
      </c>
      <c r="E644" s="113" t="s">
        <v>85</v>
      </c>
      <c r="F644" s="119" t="n">
        <v>0</v>
      </c>
      <c r="G644" s="119" t="n">
        <v>0</v>
      </c>
      <c r="H644" s="115" t="n">
        <f aca="false">IFERROR(SUM($F644:$G644),"")</f>
        <v>0</v>
      </c>
      <c r="J644" s="116"/>
      <c r="K644" s="116"/>
      <c r="L644" s="116"/>
      <c r="M644" s="116"/>
      <c r="N644" s="116"/>
      <c r="O644" s="116"/>
      <c r="P644" s="116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</row>
    <row r="645" customFormat="false" ht="16.5" hidden="true" customHeight="true" outlineLevel="0" collapsed="false">
      <c r="A645" s="102"/>
      <c r="B645" s="117" t="s">
        <v>1033</v>
      </c>
      <c r="C645" s="111"/>
      <c r="D645" s="118" t="s">
        <v>1034</v>
      </c>
      <c r="E645" s="113" t="s">
        <v>85</v>
      </c>
      <c r="F645" s="119" t="n">
        <v>0</v>
      </c>
      <c r="G645" s="119" t="n">
        <v>0</v>
      </c>
      <c r="H645" s="115" t="n">
        <f aca="false">IFERROR(SUM($F645:$G645),"")</f>
        <v>0</v>
      </c>
      <c r="J645" s="116"/>
      <c r="K645" s="116"/>
      <c r="L645" s="116"/>
      <c r="M645" s="116"/>
      <c r="N645" s="116"/>
      <c r="O645" s="116"/>
      <c r="P645" s="116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</row>
    <row r="646" customFormat="false" ht="16.5" hidden="false" customHeight="true" outlineLevel="0" collapsed="false">
      <c r="A646" s="102"/>
      <c r="B646" s="117"/>
      <c r="C646" s="111"/>
      <c r="D646" s="118"/>
      <c r="E646" s="113"/>
      <c r="F646" s="119" t="n">
        <v>0</v>
      </c>
      <c r="G646" s="119" t="n">
        <v>0</v>
      </c>
      <c r="H646" s="115" t="n">
        <f aca="false">IFERROR(SUM($F646:$G646),"")</f>
        <v>0</v>
      </c>
      <c r="J646" s="116"/>
      <c r="K646" s="116"/>
      <c r="L646" s="116"/>
      <c r="M646" s="116"/>
      <c r="N646" s="116"/>
      <c r="O646" s="116"/>
      <c r="P646" s="116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</row>
    <row r="647" customFormat="false" ht="16.5" hidden="false" customHeight="true" outlineLevel="0" collapsed="false">
      <c r="A647" s="102"/>
      <c r="B647" s="124"/>
      <c r="C647" s="125"/>
      <c r="D647" s="237"/>
      <c r="E647" s="127"/>
      <c r="F647" s="119" t="n">
        <v>0</v>
      </c>
      <c r="G647" s="119" t="n">
        <v>0</v>
      </c>
      <c r="H647" s="115" t="n">
        <f aca="false">IFERROR(SUM($F647:$G647),"")</f>
        <v>0</v>
      </c>
      <c r="J647" s="116"/>
      <c r="K647" s="116"/>
      <c r="L647" s="116"/>
      <c r="M647" s="116"/>
      <c r="N647" s="116"/>
      <c r="O647" s="116"/>
      <c r="P647" s="116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</row>
    <row r="648" customFormat="false" ht="16.5" hidden="false" customHeight="true" outlineLevel="0" collapsed="false">
      <c r="A648" s="102"/>
      <c r="B648" s="128"/>
      <c r="C648" s="128"/>
      <c r="D648" s="128"/>
      <c r="E648" s="232"/>
      <c r="F648" s="130" t="n">
        <v>0</v>
      </c>
      <c r="G648" s="130" t="n">
        <v>0</v>
      </c>
      <c r="H648" s="131" t="n">
        <f aca="false">IFERROR(SUM($F648:$G648),"")</f>
        <v>0</v>
      </c>
      <c r="J648" s="116"/>
      <c r="K648" s="116"/>
      <c r="L648" s="116"/>
      <c r="M648" s="116"/>
      <c r="N648" s="116"/>
      <c r="O648" s="116"/>
      <c r="P648" s="116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</row>
    <row r="649" customFormat="false" ht="16.5" hidden="false" customHeight="true" outlineLevel="0" collapsed="false">
      <c r="A649" s="102"/>
      <c r="B649" s="132"/>
      <c r="C649" s="104"/>
      <c r="D649" s="133"/>
      <c r="E649" s="234"/>
      <c r="F649" s="135"/>
      <c r="G649" s="135"/>
      <c r="H649" s="136" t="n">
        <f aca="false">IFERROR(SUM($F649:$G649),"")</f>
        <v>0</v>
      </c>
      <c r="J649" s="116"/>
      <c r="K649" s="116"/>
      <c r="L649" s="116"/>
      <c r="M649" s="116"/>
      <c r="N649" s="116"/>
      <c r="O649" s="116"/>
      <c r="P649" s="116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</row>
    <row r="650" customFormat="false" ht="16.5" hidden="false" customHeight="true" outlineLevel="0" collapsed="false">
      <c r="A650" s="102"/>
      <c r="B650" s="137"/>
      <c r="C650" s="137"/>
      <c r="D650" s="137"/>
      <c r="E650" s="235"/>
      <c r="F650" s="139" t="n">
        <v>0</v>
      </c>
      <c r="G650" s="139" t="n">
        <v>0</v>
      </c>
      <c r="H650" s="140" t="n">
        <f aca="false">IFERROR(SUM($F650:$G650),"")</f>
        <v>0</v>
      </c>
      <c r="J650" s="116"/>
      <c r="K650" s="116"/>
      <c r="L650" s="116"/>
      <c r="M650" s="116"/>
      <c r="N650" s="116"/>
      <c r="O650" s="116"/>
      <c r="P650" s="116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</row>
    <row r="651" customFormat="false" ht="16.5" hidden="true" customHeight="true" outlineLevel="0" collapsed="false">
      <c r="A651" s="102"/>
      <c r="B651" s="124"/>
      <c r="C651" s="141"/>
      <c r="D651" s="141"/>
      <c r="E651" s="127"/>
      <c r="F651" s="142" t="n">
        <v>0</v>
      </c>
      <c r="G651" s="142" t="n">
        <v>0</v>
      </c>
      <c r="H651" s="143" t="n">
        <f aca="false">IFERROR(SUM($F651:$G651),"")</f>
        <v>0</v>
      </c>
      <c r="J651" s="116"/>
      <c r="K651" s="116"/>
      <c r="L651" s="116"/>
      <c r="M651" s="116"/>
      <c r="N651" s="116"/>
      <c r="O651" s="116"/>
      <c r="P651" s="116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</row>
    <row r="652" customFormat="false" ht="16.5" hidden="true" customHeight="true" outlineLevel="0" collapsed="false">
      <c r="A652" s="102"/>
      <c r="B652" s="103" t="s">
        <v>1035</v>
      </c>
      <c r="C652" s="104"/>
      <c r="D652" s="104"/>
      <c r="E652" s="127"/>
      <c r="F652" s="142" t="n">
        <v>0</v>
      </c>
      <c r="G652" s="142" t="n">
        <v>0</v>
      </c>
      <c r="H652" s="143" t="n">
        <f aca="false">IFERROR(SUM($F652:$G652),"")</f>
        <v>0</v>
      </c>
      <c r="J652" s="116"/>
      <c r="K652" s="116"/>
      <c r="L652" s="116"/>
      <c r="M652" s="116"/>
      <c r="N652" s="116"/>
      <c r="O652" s="116"/>
      <c r="P652" s="116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</row>
    <row r="653" customFormat="false" ht="16.5" hidden="true" customHeight="true" outlineLevel="0" collapsed="false">
      <c r="A653" s="102"/>
      <c r="B653" s="144"/>
      <c r="C653" s="145"/>
      <c r="D653" s="146"/>
      <c r="E653" s="127"/>
      <c r="F653" s="142" t="n">
        <v>0</v>
      </c>
      <c r="G653" s="142" t="n">
        <v>0</v>
      </c>
      <c r="H653" s="143" t="n">
        <f aca="false">IFERROR(SUM($F653:$G653),"")</f>
        <v>0</v>
      </c>
      <c r="J653" s="116"/>
      <c r="K653" s="116"/>
      <c r="L653" s="116"/>
      <c r="M653" s="116"/>
      <c r="N653" s="116"/>
      <c r="O653" s="116"/>
      <c r="P653" s="116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</row>
    <row r="654" customFormat="false" ht="16.5" hidden="true" customHeight="true" outlineLevel="0" collapsed="false">
      <c r="A654" s="102"/>
      <c r="B654" s="238"/>
      <c r="C654" s="239"/>
      <c r="D654" s="240"/>
      <c r="E654" s="127"/>
      <c r="F654" s="142" t="n">
        <v>0</v>
      </c>
      <c r="G654" s="236" t="n">
        <v>0</v>
      </c>
      <c r="H654" s="143" t="n">
        <f aca="false">IFERROR(SUM($F654:$G654),"")</f>
        <v>0</v>
      </c>
      <c r="J654" s="116"/>
      <c r="K654" s="116"/>
      <c r="L654" s="116"/>
      <c r="M654" s="116"/>
      <c r="N654" s="116"/>
      <c r="O654" s="116"/>
      <c r="P654" s="116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</row>
    <row r="655" customFormat="false" ht="16.5" hidden="true" customHeight="true" outlineLevel="0" collapsed="false">
      <c r="A655" s="102"/>
      <c r="B655" s="241" t="s">
        <v>1036</v>
      </c>
      <c r="C655" s="242"/>
      <c r="D655" s="123" t="s">
        <v>1037</v>
      </c>
      <c r="E655" s="113"/>
      <c r="F655" s="119" t="n">
        <v>0</v>
      </c>
      <c r="G655" s="119" t="n">
        <v>0</v>
      </c>
      <c r="H655" s="115" t="n">
        <f aca="false">IFERROR(SUM($F655:$G655),"")</f>
        <v>0</v>
      </c>
      <c r="J655" s="116"/>
      <c r="K655" s="116"/>
      <c r="L655" s="116"/>
      <c r="M655" s="116"/>
      <c r="N655" s="116"/>
      <c r="O655" s="116"/>
      <c r="P655" s="116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</row>
    <row r="656" customFormat="false" ht="16.5" hidden="true" customHeight="true" outlineLevel="0" collapsed="false">
      <c r="A656" s="102"/>
      <c r="B656" s="162" t="s">
        <v>1038</v>
      </c>
      <c r="C656" s="242"/>
      <c r="D656" s="118" t="s">
        <v>1039</v>
      </c>
      <c r="E656" s="113" t="s">
        <v>75</v>
      </c>
      <c r="F656" s="119" t="n">
        <v>0</v>
      </c>
      <c r="G656" s="119" t="n">
        <v>0</v>
      </c>
      <c r="H656" s="115" t="n">
        <f aca="false">IFERROR(SUM($F656:$G656),"")</f>
        <v>0</v>
      </c>
      <c r="J656" s="116"/>
      <c r="K656" s="116"/>
      <c r="L656" s="116"/>
      <c r="M656" s="116"/>
      <c r="N656" s="116"/>
      <c r="O656" s="116"/>
      <c r="P656" s="116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</row>
    <row r="657" customFormat="false" ht="16.5" hidden="true" customHeight="true" outlineLevel="0" collapsed="false">
      <c r="A657" s="102"/>
      <c r="B657" s="162" t="s">
        <v>1040</v>
      </c>
      <c r="C657" s="242"/>
      <c r="D657" s="118" t="s">
        <v>1041</v>
      </c>
      <c r="E657" s="113" t="s">
        <v>75</v>
      </c>
      <c r="F657" s="119" t="n">
        <v>0</v>
      </c>
      <c r="G657" s="119" t="n">
        <v>0</v>
      </c>
      <c r="H657" s="115" t="n">
        <f aca="false">IFERROR(SUM($F657:$G657),"")</f>
        <v>0</v>
      </c>
      <c r="J657" s="116"/>
      <c r="K657" s="116"/>
      <c r="L657" s="116"/>
      <c r="M657" s="116"/>
      <c r="N657" s="116"/>
      <c r="O657" s="116"/>
      <c r="P657" s="116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</row>
    <row r="658" customFormat="false" ht="16.5" hidden="true" customHeight="true" outlineLevel="0" collapsed="false">
      <c r="A658" s="102"/>
      <c r="B658" s="162" t="s">
        <v>1042</v>
      </c>
      <c r="C658" s="242"/>
      <c r="D658" s="118" t="s">
        <v>1043</v>
      </c>
      <c r="E658" s="113" t="s">
        <v>75</v>
      </c>
      <c r="F658" s="119" t="n">
        <v>0</v>
      </c>
      <c r="G658" s="119" t="n">
        <v>0</v>
      </c>
      <c r="H658" s="115" t="n">
        <f aca="false">IFERROR(SUM($F658:$G658),"")</f>
        <v>0</v>
      </c>
      <c r="J658" s="116"/>
      <c r="K658" s="116"/>
      <c r="L658" s="116"/>
      <c r="M658" s="116"/>
      <c r="N658" s="116"/>
      <c r="O658" s="116"/>
      <c r="P658" s="116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</row>
    <row r="659" customFormat="false" ht="16.5" hidden="true" customHeight="true" outlineLevel="0" collapsed="false">
      <c r="A659" s="102"/>
      <c r="B659" s="162" t="s">
        <v>1044</v>
      </c>
      <c r="C659" s="242"/>
      <c r="D659" s="118" t="s">
        <v>1045</v>
      </c>
      <c r="E659" s="113" t="s">
        <v>75</v>
      </c>
      <c r="F659" s="119" t="n">
        <v>0</v>
      </c>
      <c r="G659" s="119" t="n">
        <v>0</v>
      </c>
      <c r="H659" s="115" t="n">
        <f aca="false">IFERROR(SUM($F659:$G659),"")</f>
        <v>0</v>
      </c>
      <c r="J659" s="116"/>
      <c r="K659" s="116"/>
      <c r="L659" s="116"/>
      <c r="M659" s="116"/>
      <c r="N659" s="116"/>
      <c r="O659" s="116"/>
      <c r="P659" s="116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</row>
    <row r="660" customFormat="false" ht="16.5" hidden="true" customHeight="true" outlineLevel="0" collapsed="false">
      <c r="A660" s="102"/>
      <c r="B660" s="241" t="s">
        <v>1046</v>
      </c>
      <c r="C660" s="242"/>
      <c r="D660" s="123" t="s">
        <v>1047</v>
      </c>
      <c r="E660" s="113"/>
      <c r="F660" s="119" t="n">
        <v>0</v>
      </c>
      <c r="G660" s="119" t="n">
        <v>0</v>
      </c>
      <c r="H660" s="115" t="n">
        <f aca="false">IFERROR(SUM($F660:$G660),"")</f>
        <v>0</v>
      </c>
      <c r="J660" s="116"/>
      <c r="K660" s="116"/>
      <c r="L660" s="116"/>
      <c r="M660" s="116"/>
      <c r="N660" s="116"/>
      <c r="O660" s="116"/>
      <c r="P660" s="116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</row>
    <row r="661" customFormat="false" ht="16.5" hidden="true" customHeight="true" outlineLevel="0" collapsed="false">
      <c r="A661" s="102"/>
      <c r="B661" s="162" t="s">
        <v>1048</v>
      </c>
      <c r="C661" s="242"/>
      <c r="D661" s="118" t="s">
        <v>1049</v>
      </c>
      <c r="E661" s="113" t="s">
        <v>85</v>
      </c>
      <c r="F661" s="119" t="n">
        <v>0</v>
      </c>
      <c r="G661" s="119" t="n">
        <v>0</v>
      </c>
      <c r="H661" s="115" t="n">
        <f aca="false">IFERROR(SUM($F661:$G661),"")</f>
        <v>0</v>
      </c>
      <c r="J661" s="116"/>
      <c r="K661" s="116"/>
      <c r="L661" s="116"/>
      <c r="M661" s="116"/>
      <c r="N661" s="116"/>
      <c r="O661" s="116"/>
      <c r="P661" s="116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</row>
    <row r="662" customFormat="false" ht="16.5" hidden="true" customHeight="true" outlineLevel="0" collapsed="false">
      <c r="A662" s="102"/>
      <c r="B662" s="162" t="s">
        <v>1050</v>
      </c>
      <c r="C662" s="242"/>
      <c r="D662" s="118" t="s">
        <v>1051</v>
      </c>
      <c r="E662" s="113" t="s">
        <v>85</v>
      </c>
      <c r="F662" s="119" t="n">
        <v>0</v>
      </c>
      <c r="G662" s="119" t="n">
        <v>0</v>
      </c>
      <c r="H662" s="115" t="n">
        <f aca="false">IFERROR(SUM($F662:$G662),"")</f>
        <v>0</v>
      </c>
      <c r="J662" s="116"/>
      <c r="K662" s="116"/>
      <c r="L662" s="116"/>
      <c r="M662" s="116"/>
      <c r="N662" s="116"/>
      <c r="O662" s="116"/>
      <c r="P662" s="116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</row>
    <row r="663" customFormat="false" ht="16.5" hidden="true" customHeight="true" outlineLevel="0" collapsed="false">
      <c r="A663" s="102"/>
      <c r="B663" s="117" t="s">
        <v>1052</v>
      </c>
      <c r="C663" s="111"/>
      <c r="D663" s="118" t="s">
        <v>1053</v>
      </c>
      <c r="E663" s="113" t="s">
        <v>85</v>
      </c>
      <c r="F663" s="119" t="n">
        <v>0</v>
      </c>
      <c r="G663" s="119" t="n">
        <v>0</v>
      </c>
      <c r="H663" s="115" t="n">
        <f aca="false">IFERROR(SUM($F663:$G663),"")</f>
        <v>0</v>
      </c>
      <c r="J663" s="116"/>
      <c r="K663" s="116"/>
      <c r="L663" s="116"/>
      <c r="M663" s="116"/>
      <c r="N663" s="116"/>
      <c r="O663" s="116"/>
      <c r="P663" s="116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</row>
    <row r="664" customFormat="false" ht="16.5" hidden="true" customHeight="true" outlineLevel="0" collapsed="false">
      <c r="A664" s="102"/>
      <c r="B664" s="117" t="s">
        <v>1054</v>
      </c>
      <c r="C664" s="111"/>
      <c r="D664" s="118" t="s">
        <v>1055</v>
      </c>
      <c r="E664" s="113" t="s">
        <v>75</v>
      </c>
      <c r="F664" s="119" t="n">
        <v>0</v>
      </c>
      <c r="G664" s="119" t="n">
        <v>0</v>
      </c>
      <c r="H664" s="115" t="n">
        <f aca="false">IFERROR(SUM($F664:$G664),"")</f>
        <v>0</v>
      </c>
      <c r="J664" s="116"/>
      <c r="K664" s="116"/>
      <c r="L664" s="116"/>
      <c r="M664" s="116"/>
      <c r="N664" s="116"/>
      <c r="O664" s="116"/>
      <c r="P664" s="116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</row>
    <row r="665" customFormat="false" ht="16.5" hidden="true" customHeight="true" outlineLevel="0" collapsed="false">
      <c r="A665" s="102"/>
      <c r="B665" s="117" t="s">
        <v>1056</v>
      </c>
      <c r="C665" s="111"/>
      <c r="D665" s="118" t="s">
        <v>1057</v>
      </c>
      <c r="E665" s="113" t="s">
        <v>85</v>
      </c>
      <c r="F665" s="119" t="n">
        <v>0</v>
      </c>
      <c r="G665" s="119" t="n">
        <v>0</v>
      </c>
      <c r="H665" s="115" t="n">
        <f aca="false">IFERROR(SUM($F665:$G665),"")</f>
        <v>0</v>
      </c>
      <c r="J665" s="116"/>
      <c r="K665" s="116"/>
      <c r="L665" s="116"/>
      <c r="M665" s="116"/>
      <c r="N665" s="116"/>
      <c r="O665" s="116"/>
      <c r="P665" s="116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</row>
    <row r="666" customFormat="false" ht="16.5" hidden="true" customHeight="true" outlineLevel="0" collapsed="false">
      <c r="A666" s="102"/>
      <c r="B666" s="117" t="s">
        <v>1058</v>
      </c>
      <c r="C666" s="111"/>
      <c r="D666" s="118" t="s">
        <v>1059</v>
      </c>
      <c r="E666" s="113" t="s">
        <v>85</v>
      </c>
      <c r="F666" s="119" t="n">
        <v>0</v>
      </c>
      <c r="G666" s="119" t="n">
        <v>0</v>
      </c>
      <c r="H666" s="115" t="n">
        <f aca="false">IFERROR(SUM($F666:$G666),"")</f>
        <v>0</v>
      </c>
      <c r="J666" s="116"/>
      <c r="K666" s="116"/>
      <c r="L666" s="116"/>
      <c r="M666" s="116"/>
      <c r="N666" s="116"/>
      <c r="O666" s="116"/>
      <c r="P666" s="116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</row>
    <row r="667" customFormat="false" ht="16.5" hidden="true" customHeight="true" outlineLevel="0" collapsed="false">
      <c r="A667" s="102"/>
      <c r="B667" s="117" t="s">
        <v>1060</v>
      </c>
      <c r="C667" s="111"/>
      <c r="D667" s="118" t="s">
        <v>1061</v>
      </c>
      <c r="E667" s="113" t="s">
        <v>85</v>
      </c>
      <c r="F667" s="119" t="n">
        <v>0</v>
      </c>
      <c r="G667" s="119" t="n">
        <v>0</v>
      </c>
      <c r="H667" s="115" t="n">
        <f aca="false">IFERROR(SUM($F667:$G667),"")</f>
        <v>0</v>
      </c>
      <c r="J667" s="116"/>
      <c r="K667" s="116"/>
      <c r="L667" s="116"/>
      <c r="M667" s="116"/>
      <c r="N667" s="116"/>
      <c r="O667" s="116"/>
      <c r="P667" s="116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</row>
    <row r="668" customFormat="false" ht="16.5" hidden="true" customHeight="true" outlineLevel="0" collapsed="false">
      <c r="A668" s="102"/>
      <c r="B668" s="117" t="s">
        <v>1062</v>
      </c>
      <c r="C668" s="111"/>
      <c r="D668" s="118" t="s">
        <v>1063</v>
      </c>
      <c r="E668" s="113" t="s">
        <v>85</v>
      </c>
      <c r="F668" s="119" t="n">
        <v>0</v>
      </c>
      <c r="G668" s="119" t="n">
        <v>0</v>
      </c>
      <c r="H668" s="115" t="n">
        <f aca="false">IFERROR(SUM($F668:$G668),"")</f>
        <v>0</v>
      </c>
      <c r="J668" s="116"/>
      <c r="K668" s="116"/>
      <c r="L668" s="116"/>
      <c r="M668" s="116"/>
      <c r="N668" s="116"/>
      <c r="O668" s="116"/>
      <c r="P668" s="116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</row>
    <row r="669" customFormat="false" ht="16.5" hidden="true" customHeight="true" outlineLevel="0" collapsed="false">
      <c r="A669" s="102"/>
      <c r="B669" s="162"/>
      <c r="C669" s="242"/>
      <c r="D669" s="118"/>
      <c r="E669" s="113"/>
      <c r="F669" s="119" t="n">
        <v>0</v>
      </c>
      <c r="G669" s="119" t="n">
        <v>0</v>
      </c>
      <c r="H669" s="115" t="n">
        <f aca="false">IFERROR(SUM($F669:$G669),"")</f>
        <v>0</v>
      </c>
      <c r="J669" s="116"/>
      <c r="K669" s="116"/>
      <c r="L669" s="116"/>
      <c r="M669" s="116"/>
      <c r="N669" s="116"/>
      <c r="O669" s="116"/>
      <c r="P669" s="116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</row>
    <row r="670" customFormat="false" ht="16.5" hidden="true" customHeight="true" outlineLevel="0" collapsed="false">
      <c r="A670" s="102"/>
      <c r="B670" s="243"/>
      <c r="C670" s="244"/>
      <c r="D670" s="126"/>
      <c r="E670" s="127"/>
      <c r="F670" s="119" t="n">
        <v>0</v>
      </c>
      <c r="G670" s="119" t="n">
        <v>0</v>
      </c>
      <c r="H670" s="115" t="n">
        <f aca="false">IFERROR(SUM($F670:$G670),"")</f>
        <v>0</v>
      </c>
      <c r="J670" s="116"/>
      <c r="K670" s="116"/>
      <c r="L670" s="116"/>
      <c r="M670" s="116"/>
      <c r="N670" s="116"/>
      <c r="O670" s="116"/>
      <c r="P670" s="116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</row>
    <row r="671" customFormat="false" ht="16.5" hidden="false" customHeight="true" outlineLevel="0" collapsed="false">
      <c r="A671" s="102"/>
      <c r="B671" s="128"/>
      <c r="C671" s="128"/>
      <c r="D671" s="128"/>
      <c r="E671" s="232"/>
      <c r="F671" s="130" t="n">
        <v>0</v>
      </c>
      <c r="G671" s="130" t="n">
        <v>0</v>
      </c>
      <c r="H671" s="131" t="n">
        <f aca="false">IFERROR(SUM($F671:$G671),"")</f>
        <v>0</v>
      </c>
      <c r="J671" s="116"/>
      <c r="K671" s="116"/>
      <c r="L671" s="116"/>
      <c r="M671" s="116"/>
      <c r="N671" s="116"/>
      <c r="O671" s="116"/>
      <c r="P671" s="116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</row>
    <row r="672" customFormat="false" ht="16.5" hidden="false" customHeight="true" outlineLevel="0" collapsed="false">
      <c r="A672" s="102"/>
      <c r="B672" s="132"/>
      <c r="C672" s="104"/>
      <c r="D672" s="133"/>
      <c r="E672" s="234"/>
      <c r="F672" s="135"/>
      <c r="G672" s="135"/>
      <c r="H672" s="136" t="n">
        <f aca="false">IFERROR(SUM($F672:$G672),"")</f>
        <v>0</v>
      </c>
      <c r="J672" s="116"/>
      <c r="K672" s="116"/>
      <c r="L672" s="116"/>
      <c r="M672" s="116"/>
      <c r="N672" s="116"/>
      <c r="O672" s="116"/>
      <c r="P672" s="116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</row>
    <row r="673" customFormat="false" ht="16.5" hidden="false" customHeight="true" outlineLevel="0" collapsed="false">
      <c r="A673" s="102"/>
      <c r="B673" s="137"/>
      <c r="C673" s="137"/>
      <c r="D673" s="137"/>
      <c r="E673" s="235"/>
      <c r="F673" s="139" t="n">
        <v>0</v>
      </c>
      <c r="G673" s="139" t="n">
        <v>0</v>
      </c>
      <c r="H673" s="140" t="n">
        <f aca="false">IFERROR(SUM($F673:$G673),"")</f>
        <v>0</v>
      </c>
      <c r="J673" s="116"/>
      <c r="K673" s="116"/>
      <c r="L673" s="116"/>
      <c r="M673" s="116"/>
      <c r="N673" s="116"/>
      <c r="O673" s="116"/>
      <c r="P673" s="116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</row>
    <row r="674" customFormat="false" ht="16.5" hidden="false" customHeight="true" outlineLevel="0" collapsed="false">
      <c r="A674" s="102"/>
      <c r="B674" s="124"/>
      <c r="C674" s="141"/>
      <c r="D674" s="141"/>
      <c r="E674" s="127"/>
      <c r="F674" s="142" t="n">
        <v>0</v>
      </c>
      <c r="G674" s="142" t="n">
        <v>0</v>
      </c>
      <c r="H674" s="143" t="n">
        <f aca="false">IFERROR(SUM($F674:$G674),"")</f>
        <v>0</v>
      </c>
      <c r="J674" s="116"/>
      <c r="K674" s="116"/>
      <c r="L674" s="116"/>
      <c r="M674" s="116"/>
      <c r="N674" s="116"/>
      <c r="O674" s="116"/>
      <c r="P674" s="116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</row>
    <row r="675" customFormat="false" ht="16.5" hidden="false" customHeight="true" outlineLevel="0" collapsed="false">
      <c r="A675" s="102"/>
      <c r="B675" s="103" t="s">
        <v>1064</v>
      </c>
      <c r="C675" s="104"/>
      <c r="D675" s="104"/>
      <c r="E675" s="127"/>
      <c r="F675" s="142" t="n">
        <v>0</v>
      </c>
      <c r="G675" s="142" t="n">
        <v>0</v>
      </c>
      <c r="H675" s="143" t="n">
        <f aca="false">IFERROR(SUM($F675:$G675),"")</f>
        <v>0</v>
      </c>
      <c r="J675" s="116"/>
      <c r="K675" s="116"/>
      <c r="L675" s="116"/>
      <c r="M675" s="116"/>
      <c r="N675" s="116"/>
      <c r="O675" s="116"/>
      <c r="P675" s="116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</row>
    <row r="676" customFormat="false" ht="16.5" hidden="false" customHeight="true" outlineLevel="0" collapsed="false">
      <c r="A676" s="102"/>
      <c r="B676" s="144"/>
      <c r="C676" s="145"/>
      <c r="D676" s="146"/>
      <c r="E676" s="127"/>
      <c r="F676" s="142" t="n">
        <v>0</v>
      </c>
      <c r="G676" s="142" t="n">
        <v>0</v>
      </c>
      <c r="H676" s="143" t="n">
        <f aca="false">IFERROR(SUM($F676:$G676),"")</f>
        <v>0</v>
      </c>
      <c r="J676" s="116"/>
      <c r="K676" s="116"/>
      <c r="L676" s="116"/>
      <c r="M676" s="116"/>
      <c r="N676" s="116"/>
      <c r="O676" s="116"/>
      <c r="P676" s="116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</row>
    <row r="677" customFormat="false" ht="16.5" hidden="false" customHeight="true" outlineLevel="0" collapsed="false">
      <c r="A677" s="102"/>
      <c r="B677" s="124"/>
      <c r="C677" s="239"/>
      <c r="D677" s="240"/>
      <c r="E677" s="127"/>
      <c r="F677" s="142" t="n">
        <v>0</v>
      </c>
      <c r="G677" s="236" t="n">
        <v>0</v>
      </c>
      <c r="H677" s="143" t="n">
        <f aca="false">IFERROR(SUM($F677:$G677),"")</f>
        <v>0</v>
      </c>
      <c r="J677" s="116"/>
      <c r="K677" s="116"/>
      <c r="L677" s="116"/>
      <c r="M677" s="116"/>
      <c r="N677" s="116"/>
      <c r="O677" s="116"/>
      <c r="P677" s="116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</row>
    <row r="678" customFormat="false" ht="16.5" hidden="false" customHeight="true" outlineLevel="0" collapsed="false">
      <c r="A678" s="102"/>
      <c r="B678" s="110" t="s">
        <v>1065</v>
      </c>
      <c r="C678" s="111"/>
      <c r="D678" s="123" t="s">
        <v>1066</v>
      </c>
      <c r="E678" s="113"/>
      <c r="F678" s="119" t="n">
        <v>0</v>
      </c>
      <c r="G678" s="119" t="n">
        <v>0</v>
      </c>
      <c r="H678" s="115" t="n">
        <f aca="false">IFERROR(SUM($F678:$G678),"")</f>
        <v>0</v>
      </c>
      <c r="J678" s="116"/>
      <c r="K678" s="116"/>
      <c r="L678" s="116"/>
      <c r="M678" s="116"/>
      <c r="N678" s="116"/>
      <c r="O678" s="116"/>
      <c r="P678" s="116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</row>
    <row r="679" customFormat="false" ht="16.5" hidden="true" customHeight="true" outlineLevel="0" collapsed="false">
      <c r="A679" s="102"/>
      <c r="B679" s="117" t="s">
        <v>1067</v>
      </c>
      <c r="C679" s="111"/>
      <c r="D679" s="118" t="s">
        <v>1068</v>
      </c>
      <c r="E679" s="113" t="s">
        <v>85</v>
      </c>
      <c r="F679" s="119" t="n">
        <v>0</v>
      </c>
      <c r="G679" s="119" t="n">
        <v>0</v>
      </c>
      <c r="H679" s="115" t="n">
        <f aca="false">IFERROR(SUM($F679:$G679),"")</f>
        <v>0</v>
      </c>
      <c r="J679" s="116"/>
      <c r="K679" s="116"/>
      <c r="L679" s="116"/>
      <c r="M679" s="116"/>
      <c r="N679" s="116"/>
      <c r="O679" s="116"/>
      <c r="P679" s="116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</row>
    <row r="680" customFormat="false" ht="16.5" hidden="true" customHeight="true" outlineLevel="0" collapsed="false">
      <c r="A680" s="102"/>
      <c r="B680" s="117" t="s">
        <v>1069</v>
      </c>
      <c r="C680" s="111"/>
      <c r="D680" s="118" t="s">
        <v>1070</v>
      </c>
      <c r="E680" s="113" t="s">
        <v>85</v>
      </c>
      <c r="F680" s="119" t="n">
        <v>0</v>
      </c>
      <c r="G680" s="119" t="n">
        <v>0</v>
      </c>
      <c r="H680" s="115" t="n">
        <f aca="false">IFERROR(SUM($F680:$G680),"")</f>
        <v>0</v>
      </c>
      <c r="J680" s="116"/>
      <c r="K680" s="116"/>
      <c r="L680" s="116"/>
      <c r="M680" s="116"/>
      <c r="N680" s="116"/>
      <c r="O680" s="116"/>
      <c r="P680" s="116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</row>
    <row r="681" customFormat="false" ht="16.5" hidden="true" customHeight="true" outlineLevel="0" collapsed="false">
      <c r="A681" s="102"/>
      <c r="B681" s="117" t="s">
        <v>1071</v>
      </c>
      <c r="C681" s="111"/>
      <c r="D681" s="118" t="s">
        <v>1072</v>
      </c>
      <c r="E681" s="113" t="s">
        <v>85</v>
      </c>
      <c r="F681" s="119" t="n">
        <v>0</v>
      </c>
      <c r="G681" s="119" t="n">
        <v>0</v>
      </c>
      <c r="H681" s="115" t="n">
        <f aca="false">IFERROR(SUM($F681:$G681),"")</f>
        <v>0</v>
      </c>
      <c r="J681" s="116"/>
      <c r="K681" s="116"/>
      <c r="L681" s="116"/>
      <c r="M681" s="116"/>
      <c r="N681" s="116"/>
      <c r="O681" s="116"/>
      <c r="P681" s="116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</row>
    <row r="682" customFormat="false" ht="16.5" hidden="false" customHeight="true" outlineLevel="0" collapsed="false">
      <c r="A682" s="102"/>
      <c r="B682" s="117" t="s">
        <v>1073</v>
      </c>
      <c r="C682" s="111"/>
      <c r="D682" s="118" t="s">
        <v>1074</v>
      </c>
      <c r="E682" s="113" t="s">
        <v>85</v>
      </c>
      <c r="F682" s="119" t="n">
        <v>40</v>
      </c>
      <c r="G682" s="119" t="n">
        <v>0</v>
      </c>
      <c r="H682" s="115" t="n">
        <f aca="false">IFERROR(SUM($F682:$G682),"")</f>
        <v>40</v>
      </c>
      <c r="J682" s="120" t="n">
        <v>20</v>
      </c>
      <c r="K682" s="121" t="n">
        <f aca="false">+$H682*J682</f>
        <v>800</v>
      </c>
      <c r="L682" s="122" t="n">
        <v>100</v>
      </c>
      <c r="M682" s="122" t="n">
        <v>1200</v>
      </c>
      <c r="N682" s="121" t="n">
        <f aca="false">+$H682*L682</f>
        <v>4000</v>
      </c>
      <c r="O682" s="121" t="n">
        <f aca="false">+$H682*M682</f>
        <v>48000</v>
      </c>
      <c r="P682" s="121" t="n">
        <f aca="false">+SUM(N682:O682)</f>
        <v>52000</v>
      </c>
      <c r="R682" s="109"/>
      <c r="S682" s="109" t="n">
        <f aca="false">+R682*$H682</f>
        <v>0</v>
      </c>
      <c r="T682" s="109"/>
      <c r="U682" s="109" t="n">
        <f aca="false">+T682*$H682</f>
        <v>0</v>
      </c>
      <c r="V682" s="109" t="n">
        <f aca="false">+T682*$V$11</f>
        <v>0</v>
      </c>
      <c r="W682" s="109" t="n">
        <f aca="false">+V682*$H682</f>
        <v>0</v>
      </c>
      <c r="X682" s="109"/>
      <c r="Y682" s="109" t="n">
        <f aca="false">+X682*$H682</f>
        <v>0</v>
      </c>
      <c r="Z682" s="109"/>
      <c r="AA682" s="109" t="n">
        <f aca="false">+Z682*$H682</f>
        <v>0</v>
      </c>
      <c r="AB682" s="109"/>
      <c r="AC682" s="109" t="n">
        <f aca="false">+AB682*$H682</f>
        <v>0</v>
      </c>
      <c r="AD682" s="109" t="n">
        <f aca="false">+R682+V682+X682+Z682+AB682</f>
        <v>0</v>
      </c>
      <c r="AE682" s="109" t="n">
        <f aca="false">+AD682*$H682</f>
        <v>0</v>
      </c>
    </row>
    <row r="683" customFormat="false" ht="16.5" hidden="true" customHeight="true" outlineLevel="0" collapsed="false">
      <c r="A683" s="102"/>
      <c r="B683" s="117" t="s">
        <v>1075</v>
      </c>
      <c r="C683" s="111"/>
      <c r="D683" s="118" t="s">
        <v>1076</v>
      </c>
      <c r="E683" s="113" t="s">
        <v>85</v>
      </c>
      <c r="F683" s="119" t="n">
        <v>0</v>
      </c>
      <c r="G683" s="119" t="n">
        <v>0</v>
      </c>
      <c r="H683" s="115" t="n">
        <f aca="false">IFERROR(SUM($F683:$G683),"")</f>
        <v>0</v>
      </c>
      <c r="J683" s="116"/>
      <c r="K683" s="116"/>
      <c r="L683" s="116"/>
      <c r="M683" s="116"/>
      <c r="N683" s="116"/>
      <c r="O683" s="116"/>
      <c r="P683" s="116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</row>
    <row r="684" customFormat="false" ht="16.5" hidden="true" customHeight="true" outlineLevel="0" collapsed="false">
      <c r="A684" s="102"/>
      <c r="B684" s="117" t="s">
        <v>1077</v>
      </c>
      <c r="C684" s="111"/>
      <c r="D684" s="118" t="s">
        <v>1078</v>
      </c>
      <c r="E684" s="113" t="s">
        <v>85</v>
      </c>
      <c r="F684" s="119" t="n">
        <v>0</v>
      </c>
      <c r="G684" s="119" t="n">
        <v>0</v>
      </c>
      <c r="H684" s="115" t="n">
        <f aca="false">IFERROR(SUM($F684:$G684),"")</f>
        <v>0</v>
      </c>
      <c r="J684" s="116"/>
      <c r="K684" s="116"/>
      <c r="L684" s="116"/>
      <c r="M684" s="116"/>
      <c r="N684" s="116"/>
      <c r="O684" s="116"/>
      <c r="P684" s="116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</row>
    <row r="685" customFormat="false" ht="16.5" hidden="true" customHeight="true" outlineLevel="0" collapsed="false">
      <c r="A685" s="102"/>
      <c r="B685" s="117" t="s">
        <v>1079</v>
      </c>
      <c r="C685" s="111"/>
      <c r="D685" s="118" t="s">
        <v>1080</v>
      </c>
      <c r="E685" s="113" t="s">
        <v>85</v>
      </c>
      <c r="F685" s="119" t="n">
        <v>0</v>
      </c>
      <c r="G685" s="119" t="n">
        <v>0</v>
      </c>
      <c r="H685" s="115" t="n">
        <f aca="false">IFERROR(SUM($F685:$G685),"")</f>
        <v>0</v>
      </c>
      <c r="J685" s="116"/>
      <c r="K685" s="116"/>
      <c r="L685" s="116"/>
      <c r="M685" s="116"/>
      <c r="N685" s="116"/>
      <c r="O685" s="116"/>
      <c r="P685" s="116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</row>
    <row r="686" customFormat="false" ht="16.5" hidden="true" customHeight="true" outlineLevel="0" collapsed="false">
      <c r="A686" s="102"/>
      <c r="B686" s="117" t="s">
        <v>1081</v>
      </c>
      <c r="C686" s="111"/>
      <c r="D686" s="118" t="s">
        <v>1082</v>
      </c>
      <c r="E686" s="113" t="s">
        <v>85</v>
      </c>
      <c r="F686" s="119" t="n">
        <v>0</v>
      </c>
      <c r="G686" s="119" t="n">
        <v>0</v>
      </c>
      <c r="H686" s="115" t="n">
        <f aca="false">IFERROR(SUM($F686:$G686),"")</f>
        <v>0</v>
      </c>
      <c r="J686" s="116"/>
      <c r="K686" s="116"/>
      <c r="L686" s="116"/>
      <c r="M686" s="116"/>
      <c r="N686" s="116"/>
      <c r="O686" s="116"/>
      <c r="P686" s="116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</row>
    <row r="687" customFormat="false" ht="16.5" hidden="true" customHeight="true" outlineLevel="0" collapsed="false">
      <c r="A687" s="102"/>
      <c r="B687" s="117" t="s">
        <v>1083</v>
      </c>
      <c r="C687" s="111"/>
      <c r="D687" s="118" t="s">
        <v>1084</v>
      </c>
      <c r="E687" s="113" t="s">
        <v>85</v>
      </c>
      <c r="F687" s="119" t="n">
        <v>0</v>
      </c>
      <c r="G687" s="119" t="n">
        <v>0</v>
      </c>
      <c r="H687" s="115" t="n">
        <f aca="false">IFERROR(SUM($F687:$G687),"")</f>
        <v>0</v>
      </c>
      <c r="J687" s="116"/>
      <c r="K687" s="116"/>
      <c r="L687" s="116"/>
      <c r="M687" s="116"/>
      <c r="N687" s="116"/>
      <c r="O687" s="116"/>
      <c r="P687" s="116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</row>
    <row r="688" customFormat="false" ht="16.5" hidden="true" customHeight="true" outlineLevel="0" collapsed="false">
      <c r="A688" s="102"/>
      <c r="B688" s="117" t="s">
        <v>1085</v>
      </c>
      <c r="C688" s="111"/>
      <c r="D688" s="118" t="s">
        <v>1086</v>
      </c>
      <c r="E688" s="113" t="s">
        <v>85</v>
      </c>
      <c r="F688" s="119" t="n">
        <v>0</v>
      </c>
      <c r="G688" s="119" t="n">
        <v>0</v>
      </c>
      <c r="H688" s="115" t="n">
        <f aca="false">IFERROR(SUM($F688:$G688),"")</f>
        <v>0</v>
      </c>
      <c r="J688" s="116"/>
      <c r="K688" s="116"/>
      <c r="L688" s="116"/>
      <c r="M688" s="116"/>
      <c r="N688" s="116"/>
      <c r="O688" s="116"/>
      <c r="P688" s="116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</row>
    <row r="689" customFormat="false" ht="16.5" hidden="false" customHeight="true" outlineLevel="0" collapsed="false">
      <c r="A689" s="102"/>
      <c r="B689" s="110" t="s">
        <v>1087</v>
      </c>
      <c r="C689" s="111"/>
      <c r="D689" s="123" t="s">
        <v>1088</v>
      </c>
      <c r="E689" s="113"/>
      <c r="F689" s="119" t="n">
        <v>0</v>
      </c>
      <c r="G689" s="119" t="n">
        <v>0</v>
      </c>
      <c r="H689" s="115" t="n">
        <f aca="false">IFERROR(SUM($F689:$G689),"")</f>
        <v>0</v>
      </c>
      <c r="J689" s="116"/>
      <c r="K689" s="116"/>
      <c r="L689" s="116"/>
      <c r="M689" s="116"/>
      <c r="N689" s="116"/>
      <c r="O689" s="116"/>
      <c r="P689" s="116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</row>
    <row r="690" customFormat="false" ht="16.5" hidden="true" customHeight="true" outlineLevel="0" collapsed="false">
      <c r="A690" s="102"/>
      <c r="B690" s="117" t="s">
        <v>1089</v>
      </c>
      <c r="C690" s="111"/>
      <c r="D690" s="118" t="s">
        <v>996</v>
      </c>
      <c r="E690" s="113" t="s">
        <v>85</v>
      </c>
      <c r="F690" s="119" t="n">
        <v>0</v>
      </c>
      <c r="G690" s="119" t="n">
        <v>0</v>
      </c>
      <c r="H690" s="115" t="n">
        <f aca="false">IFERROR(SUM($F690:$G690),"")</f>
        <v>0</v>
      </c>
      <c r="J690" s="116"/>
      <c r="K690" s="116"/>
      <c r="L690" s="116"/>
      <c r="M690" s="116"/>
      <c r="N690" s="116"/>
      <c r="O690" s="116"/>
      <c r="P690" s="116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</row>
    <row r="691" customFormat="false" ht="16.5" hidden="false" customHeight="true" outlineLevel="0" collapsed="false">
      <c r="A691" s="102"/>
      <c r="B691" s="117" t="s">
        <v>1090</v>
      </c>
      <c r="C691" s="111"/>
      <c r="D691" s="118" t="s">
        <v>998</v>
      </c>
      <c r="E691" s="113" t="s">
        <v>85</v>
      </c>
      <c r="F691" s="119" t="n">
        <v>930</v>
      </c>
      <c r="G691" s="119" t="n">
        <v>0</v>
      </c>
      <c r="H691" s="115" t="n">
        <f aca="false">IFERROR(SUM($F691:$G691),"")</f>
        <v>930</v>
      </c>
      <c r="J691" s="120" t="n">
        <v>1.2</v>
      </c>
      <c r="K691" s="121" t="n">
        <f aca="false">+$H691*J691</f>
        <v>1116</v>
      </c>
      <c r="L691" s="122" t="n">
        <v>6</v>
      </c>
      <c r="M691" s="122" t="n">
        <v>45</v>
      </c>
      <c r="N691" s="121" t="n">
        <f aca="false">+$H691*L691</f>
        <v>5580</v>
      </c>
      <c r="O691" s="121" t="n">
        <f aca="false">+$H691*M691</f>
        <v>41850</v>
      </c>
      <c r="P691" s="121" t="n">
        <f aca="false">+SUM(N691:O691)</f>
        <v>47430</v>
      </c>
      <c r="R691" s="109"/>
      <c r="S691" s="109" t="n">
        <f aca="false">+R691*$H691</f>
        <v>0</v>
      </c>
      <c r="T691" s="109"/>
      <c r="U691" s="109" t="n">
        <f aca="false">+T691*$H691</f>
        <v>0</v>
      </c>
      <c r="V691" s="109" t="n">
        <f aca="false">+T691*$V$11</f>
        <v>0</v>
      </c>
      <c r="W691" s="109" t="n">
        <f aca="false">+V691*$H691</f>
        <v>0</v>
      </c>
      <c r="X691" s="109"/>
      <c r="Y691" s="109" t="n">
        <f aca="false">+X691*$H691</f>
        <v>0</v>
      </c>
      <c r="Z691" s="109"/>
      <c r="AA691" s="109" t="n">
        <f aca="false">+Z691*$H691</f>
        <v>0</v>
      </c>
      <c r="AB691" s="109"/>
      <c r="AC691" s="109" t="n">
        <f aca="false">+AB691*$H691</f>
        <v>0</v>
      </c>
      <c r="AD691" s="109" t="n">
        <f aca="false">+R691+V691+X691+Z691+AB691</f>
        <v>0</v>
      </c>
      <c r="AE691" s="109" t="n">
        <f aca="false">+AD691*$H691</f>
        <v>0</v>
      </c>
    </row>
    <row r="692" customFormat="false" ht="16.5" hidden="true" customHeight="true" outlineLevel="0" collapsed="false">
      <c r="A692" s="102"/>
      <c r="B692" s="117" t="s">
        <v>1091</v>
      </c>
      <c r="C692" s="111"/>
      <c r="D692" s="118" t="s">
        <v>1000</v>
      </c>
      <c r="E692" s="113" t="s">
        <v>85</v>
      </c>
      <c r="F692" s="119" t="n">
        <v>0</v>
      </c>
      <c r="G692" s="119" t="n">
        <v>0</v>
      </c>
      <c r="H692" s="115" t="n">
        <f aca="false">IFERROR(SUM($F692:$G692),"")</f>
        <v>0</v>
      </c>
      <c r="J692" s="116"/>
      <c r="K692" s="116"/>
      <c r="L692" s="116"/>
      <c r="M692" s="116"/>
      <c r="N692" s="116"/>
      <c r="O692" s="116"/>
      <c r="P692" s="116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</row>
    <row r="693" customFormat="false" ht="16.5" hidden="false" customHeight="true" outlineLevel="0" collapsed="false">
      <c r="A693" s="102"/>
      <c r="B693" s="110" t="s">
        <v>1092</v>
      </c>
      <c r="C693" s="111"/>
      <c r="D693" s="123" t="s">
        <v>1093</v>
      </c>
      <c r="E693" s="113"/>
      <c r="F693" s="119" t="n">
        <v>0</v>
      </c>
      <c r="G693" s="119" t="n">
        <v>0</v>
      </c>
      <c r="H693" s="115" t="n">
        <f aca="false">IFERROR(SUM($F693:$G693),"")</f>
        <v>0</v>
      </c>
      <c r="J693" s="116"/>
      <c r="K693" s="116"/>
      <c r="L693" s="116"/>
      <c r="M693" s="116"/>
      <c r="N693" s="116"/>
      <c r="O693" s="116"/>
      <c r="P693" s="116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</row>
    <row r="694" customFormat="false" ht="16.5" hidden="false" customHeight="true" outlineLevel="0" collapsed="false">
      <c r="A694" s="102"/>
      <c r="B694" s="117" t="s">
        <v>1094</v>
      </c>
      <c r="C694" s="111"/>
      <c r="D694" s="118" t="s">
        <v>1095</v>
      </c>
      <c r="E694" s="113" t="s">
        <v>85</v>
      </c>
      <c r="F694" s="119" t="n">
        <v>2333</v>
      </c>
      <c r="G694" s="119" t="n">
        <v>0</v>
      </c>
      <c r="H694" s="115" t="n">
        <f aca="false">IFERROR(SUM($F694:$G694),"")</f>
        <v>2333</v>
      </c>
      <c r="J694" s="120" t="n">
        <v>2</v>
      </c>
      <c r="K694" s="121" t="n">
        <f aca="false">+$H694*J694</f>
        <v>4666</v>
      </c>
      <c r="L694" s="122" t="n">
        <v>10</v>
      </c>
      <c r="M694" s="122" t="n">
        <v>15</v>
      </c>
      <c r="N694" s="121" t="n">
        <f aca="false">+$H694*L694</f>
        <v>23330</v>
      </c>
      <c r="O694" s="121" t="n">
        <f aca="false">+$H694*M694</f>
        <v>34995</v>
      </c>
      <c r="P694" s="121" t="n">
        <f aca="false">+SUM(N694:O694)</f>
        <v>58325</v>
      </c>
      <c r="R694" s="109"/>
      <c r="S694" s="109" t="n">
        <f aca="false">+R694*$H694</f>
        <v>0</v>
      </c>
      <c r="T694" s="109"/>
      <c r="U694" s="109" t="n">
        <f aca="false">+T694*$H694</f>
        <v>0</v>
      </c>
      <c r="V694" s="109" t="n">
        <f aca="false">+T694*$V$11</f>
        <v>0</v>
      </c>
      <c r="W694" s="109" t="n">
        <f aca="false">+V694*$H694</f>
        <v>0</v>
      </c>
      <c r="X694" s="109"/>
      <c r="Y694" s="109" t="n">
        <f aca="false">+X694*$H694</f>
        <v>0</v>
      </c>
      <c r="Z694" s="109"/>
      <c r="AA694" s="109" t="n">
        <f aca="false">+Z694*$H694</f>
        <v>0</v>
      </c>
      <c r="AB694" s="109"/>
      <c r="AC694" s="109" t="n">
        <f aca="false">+AB694*$H694</f>
        <v>0</v>
      </c>
      <c r="AD694" s="109" t="n">
        <f aca="false">+R694+V694+X694+Z694+AB694</f>
        <v>0</v>
      </c>
      <c r="AE694" s="109" t="n">
        <f aca="false">+AD694*$H694</f>
        <v>0</v>
      </c>
    </row>
    <row r="695" customFormat="false" ht="16.5" hidden="true" customHeight="true" outlineLevel="0" collapsed="false">
      <c r="A695" s="102"/>
      <c r="B695" s="117" t="s">
        <v>1096</v>
      </c>
      <c r="C695" s="111"/>
      <c r="D695" s="118" t="s">
        <v>1097</v>
      </c>
      <c r="E695" s="113" t="s">
        <v>85</v>
      </c>
      <c r="F695" s="119" t="n">
        <v>0</v>
      </c>
      <c r="G695" s="119" t="n">
        <v>0</v>
      </c>
      <c r="H695" s="115" t="n">
        <f aca="false">IFERROR(SUM($F695:$G695),"")</f>
        <v>0</v>
      </c>
      <c r="J695" s="116"/>
      <c r="K695" s="116"/>
      <c r="L695" s="116"/>
      <c r="M695" s="116"/>
      <c r="N695" s="116"/>
      <c r="O695" s="116"/>
      <c r="P695" s="116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</row>
    <row r="696" customFormat="false" ht="16.5" hidden="false" customHeight="true" outlineLevel="0" collapsed="false">
      <c r="A696" s="102"/>
      <c r="B696" s="110" t="s">
        <v>1098</v>
      </c>
      <c r="C696" s="111"/>
      <c r="D696" s="123" t="s">
        <v>1099</v>
      </c>
      <c r="E696" s="113"/>
      <c r="F696" s="119" t="n">
        <v>0</v>
      </c>
      <c r="G696" s="119" t="n">
        <v>0</v>
      </c>
      <c r="H696" s="115" t="n">
        <f aca="false">IFERROR(SUM($F696:$G696),"")</f>
        <v>0</v>
      </c>
      <c r="J696" s="116"/>
      <c r="K696" s="116"/>
      <c r="L696" s="116"/>
      <c r="M696" s="116"/>
      <c r="N696" s="116"/>
      <c r="O696" s="116"/>
      <c r="P696" s="116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</row>
    <row r="697" customFormat="false" ht="16.5" hidden="false" customHeight="true" outlineLevel="0" collapsed="false">
      <c r="A697" s="102"/>
      <c r="B697" s="117" t="s">
        <v>1100</v>
      </c>
      <c r="C697" s="111"/>
      <c r="D697" s="118" t="s">
        <v>1101</v>
      </c>
      <c r="E697" s="113" t="s">
        <v>75</v>
      </c>
      <c r="F697" s="119" t="n">
        <v>67974</v>
      </c>
      <c r="G697" s="119" t="n">
        <v>0</v>
      </c>
      <c r="H697" s="115" t="n">
        <f aca="false">IFERROR(SUM($F697:$G697),"")</f>
        <v>67974</v>
      </c>
      <c r="J697" s="120" t="n">
        <v>0.1</v>
      </c>
      <c r="K697" s="121" t="n">
        <f aca="false">+$H697*J697</f>
        <v>6797.4</v>
      </c>
      <c r="L697" s="122" t="n">
        <v>0.5</v>
      </c>
      <c r="M697" s="122" t="n">
        <v>11.25</v>
      </c>
      <c r="N697" s="121" t="n">
        <f aca="false">+$H697*L697</f>
        <v>33987</v>
      </c>
      <c r="O697" s="121" t="n">
        <f aca="false">+$H697*M697</f>
        <v>764707.5</v>
      </c>
      <c r="P697" s="121" t="n">
        <f aca="false">+SUM(N697:O697)</f>
        <v>798694.5</v>
      </c>
      <c r="R697" s="109"/>
      <c r="S697" s="109" t="n">
        <f aca="false">+R697*$H697</f>
        <v>0</v>
      </c>
      <c r="T697" s="109"/>
      <c r="U697" s="109" t="n">
        <f aca="false">+T697*$H697</f>
        <v>0</v>
      </c>
      <c r="V697" s="109" t="n">
        <f aca="false">+T697*$V$11</f>
        <v>0</v>
      </c>
      <c r="W697" s="109" t="n">
        <f aca="false">+V697*$H697</f>
        <v>0</v>
      </c>
      <c r="X697" s="109"/>
      <c r="Y697" s="109" t="n">
        <f aca="false">+X697*$H697</f>
        <v>0</v>
      </c>
      <c r="Z697" s="109"/>
      <c r="AA697" s="109" t="n">
        <f aca="false">+Z697*$H697</f>
        <v>0</v>
      </c>
      <c r="AB697" s="109"/>
      <c r="AC697" s="109" t="n">
        <f aca="false">+AB697*$H697</f>
        <v>0</v>
      </c>
      <c r="AD697" s="109" t="n">
        <f aca="false">+R697+V697+X697+Z697+AB697</f>
        <v>0</v>
      </c>
      <c r="AE697" s="109" t="n">
        <f aca="false">+AD697*$H697</f>
        <v>0</v>
      </c>
    </row>
    <row r="698" customFormat="false" ht="16.5" hidden="true" customHeight="true" outlineLevel="0" collapsed="false">
      <c r="A698" s="102"/>
      <c r="B698" s="117" t="s">
        <v>1102</v>
      </c>
      <c r="C698" s="111"/>
      <c r="D698" s="118" t="s">
        <v>1103</v>
      </c>
      <c r="E698" s="113" t="s">
        <v>75</v>
      </c>
      <c r="F698" s="119" t="n">
        <v>0</v>
      </c>
      <c r="G698" s="119" t="n">
        <v>0</v>
      </c>
      <c r="H698" s="115" t="n">
        <f aca="false">IFERROR(SUM($F698:$G698),"")</f>
        <v>0</v>
      </c>
      <c r="J698" s="116"/>
      <c r="K698" s="116"/>
      <c r="L698" s="116"/>
      <c r="M698" s="116"/>
      <c r="N698" s="116"/>
      <c r="O698" s="116"/>
      <c r="P698" s="116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</row>
    <row r="699" customFormat="false" ht="16.5" hidden="true" customHeight="true" outlineLevel="0" collapsed="false">
      <c r="A699" s="102"/>
      <c r="B699" s="117" t="s">
        <v>1104</v>
      </c>
      <c r="C699" s="111"/>
      <c r="D699" s="118" t="s">
        <v>1105</v>
      </c>
      <c r="E699" s="113" t="s">
        <v>75</v>
      </c>
      <c r="F699" s="119" t="n">
        <v>0</v>
      </c>
      <c r="G699" s="119" t="n">
        <v>0</v>
      </c>
      <c r="H699" s="115" t="n">
        <f aca="false">IFERROR(SUM($F699:$G699),"")</f>
        <v>0</v>
      </c>
      <c r="J699" s="116"/>
      <c r="K699" s="116"/>
      <c r="L699" s="116"/>
      <c r="M699" s="116"/>
      <c r="N699" s="116"/>
      <c r="O699" s="116"/>
      <c r="P699" s="116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</row>
    <row r="700" customFormat="false" ht="16.5" hidden="false" customHeight="true" outlineLevel="0" collapsed="false">
      <c r="A700" s="102"/>
      <c r="B700" s="117" t="s">
        <v>1106</v>
      </c>
      <c r="C700" s="111"/>
      <c r="D700" s="118" t="s">
        <v>1107</v>
      </c>
      <c r="E700" s="113" t="s">
        <v>75</v>
      </c>
      <c r="F700" s="119" t="n">
        <v>14648</v>
      </c>
      <c r="G700" s="119" t="n">
        <v>0</v>
      </c>
      <c r="H700" s="115" t="n">
        <f aca="false">IFERROR(SUM($F700:$G700),"")</f>
        <v>14648</v>
      </c>
      <c r="J700" s="120" t="n">
        <v>0.12</v>
      </c>
      <c r="K700" s="121" t="n">
        <f aca="false">+$H700*J700</f>
        <v>1757.76</v>
      </c>
      <c r="L700" s="122" t="n">
        <v>0.6</v>
      </c>
      <c r="M700" s="122" t="n">
        <v>20</v>
      </c>
      <c r="N700" s="121" t="n">
        <f aca="false">+$H700*L700</f>
        <v>8788.8</v>
      </c>
      <c r="O700" s="121" t="n">
        <f aca="false">+$H700*M700</f>
        <v>292960</v>
      </c>
      <c r="P700" s="121" t="n">
        <f aca="false">+SUM(N700:O700)</f>
        <v>301748.8</v>
      </c>
      <c r="R700" s="109"/>
      <c r="S700" s="109" t="n">
        <f aca="false">+R700*$H700</f>
        <v>0</v>
      </c>
      <c r="T700" s="109"/>
      <c r="U700" s="109" t="n">
        <f aca="false">+T700*$H700</f>
        <v>0</v>
      </c>
      <c r="V700" s="109" t="n">
        <f aca="false">+T700*$V$11</f>
        <v>0</v>
      </c>
      <c r="W700" s="109" t="n">
        <f aca="false">+V700*$H700</f>
        <v>0</v>
      </c>
      <c r="X700" s="109"/>
      <c r="Y700" s="109" t="n">
        <f aca="false">+X700*$H700</f>
        <v>0</v>
      </c>
      <c r="Z700" s="109"/>
      <c r="AA700" s="109" t="n">
        <f aca="false">+Z700*$H700</f>
        <v>0</v>
      </c>
      <c r="AB700" s="109"/>
      <c r="AC700" s="109" t="n">
        <f aca="false">+AB700*$H700</f>
        <v>0</v>
      </c>
      <c r="AD700" s="109" t="n">
        <f aca="false">+R700+V700+X700+Z700+AB700</f>
        <v>0</v>
      </c>
      <c r="AE700" s="109" t="n">
        <f aca="false">+AD700*$H700</f>
        <v>0</v>
      </c>
    </row>
    <row r="701" customFormat="false" ht="16.5" hidden="false" customHeight="true" outlineLevel="0" collapsed="false">
      <c r="A701" s="102"/>
      <c r="B701" s="117" t="s">
        <v>1108</v>
      </c>
      <c r="C701" s="111"/>
      <c r="D701" s="118" t="s">
        <v>1109</v>
      </c>
      <c r="E701" s="113" t="s">
        <v>75</v>
      </c>
      <c r="F701" s="119" t="n">
        <v>14648</v>
      </c>
      <c r="G701" s="119" t="n">
        <v>0</v>
      </c>
      <c r="H701" s="115" t="n">
        <f aca="false">IFERROR(SUM($F701:$G701),"")</f>
        <v>14648</v>
      </c>
      <c r="J701" s="120" t="n">
        <v>0.14</v>
      </c>
      <c r="K701" s="121" t="n">
        <f aca="false">+$H701*J701</f>
        <v>2050.72</v>
      </c>
      <c r="L701" s="122" t="n">
        <v>0.7</v>
      </c>
      <c r="M701" s="122" t="n">
        <v>40</v>
      </c>
      <c r="N701" s="121" t="n">
        <f aca="false">+$H701*L701</f>
        <v>10253.6</v>
      </c>
      <c r="O701" s="121" t="n">
        <f aca="false">+$H701*M701</f>
        <v>585920</v>
      </c>
      <c r="P701" s="121" t="n">
        <f aca="false">+SUM(N701:O701)</f>
        <v>596173.6</v>
      </c>
      <c r="R701" s="109"/>
      <c r="S701" s="109" t="n">
        <f aca="false">+R701*$H701</f>
        <v>0</v>
      </c>
      <c r="T701" s="109"/>
      <c r="U701" s="109" t="n">
        <f aca="false">+T701*$H701</f>
        <v>0</v>
      </c>
      <c r="V701" s="109" t="n">
        <f aca="false">+T701*$V$11</f>
        <v>0</v>
      </c>
      <c r="W701" s="109" t="n">
        <f aca="false">+V701*$H701</f>
        <v>0</v>
      </c>
      <c r="X701" s="109"/>
      <c r="Y701" s="109" t="n">
        <f aca="false">+X701*$H701</f>
        <v>0</v>
      </c>
      <c r="Z701" s="109"/>
      <c r="AA701" s="109" t="n">
        <f aca="false">+Z701*$H701</f>
        <v>0</v>
      </c>
      <c r="AB701" s="109"/>
      <c r="AC701" s="109" t="n">
        <f aca="false">+AB701*$H701</f>
        <v>0</v>
      </c>
      <c r="AD701" s="109" t="n">
        <f aca="false">+R701+V701+X701+Z701+AB701</f>
        <v>0</v>
      </c>
      <c r="AE701" s="109" t="n">
        <f aca="false">+AD701*$H701</f>
        <v>0</v>
      </c>
    </row>
    <row r="702" customFormat="false" ht="16.5" hidden="true" customHeight="true" outlineLevel="0" collapsed="false">
      <c r="A702" s="102"/>
      <c r="B702" s="117" t="s">
        <v>1110</v>
      </c>
      <c r="C702" s="111"/>
      <c r="D702" s="118" t="s">
        <v>1111</v>
      </c>
      <c r="E702" s="113" t="s">
        <v>75</v>
      </c>
      <c r="F702" s="119" t="n">
        <v>0</v>
      </c>
      <c r="G702" s="119" t="n">
        <v>0</v>
      </c>
      <c r="H702" s="115" t="n">
        <f aca="false">IFERROR(SUM($F702:$G702),"")</f>
        <v>0</v>
      </c>
      <c r="J702" s="116"/>
      <c r="K702" s="116"/>
      <c r="L702" s="116"/>
      <c r="M702" s="116"/>
      <c r="N702" s="116"/>
      <c r="O702" s="116"/>
      <c r="P702" s="116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</row>
    <row r="703" customFormat="false" ht="16.5" hidden="false" customHeight="true" outlineLevel="0" collapsed="false">
      <c r="A703" s="102"/>
      <c r="B703" s="117" t="s">
        <v>1112</v>
      </c>
      <c r="C703" s="111"/>
      <c r="D703" s="118" t="s">
        <v>1113</v>
      </c>
      <c r="E703" s="113" t="s">
        <v>85</v>
      </c>
      <c r="F703" s="119" t="n">
        <v>1652</v>
      </c>
      <c r="G703" s="119" t="n">
        <v>0</v>
      </c>
      <c r="H703" s="115" t="n">
        <f aca="false">IFERROR(SUM($F703:$G703),"")</f>
        <v>1652</v>
      </c>
      <c r="J703" s="120" t="n">
        <v>0.65</v>
      </c>
      <c r="K703" s="121" t="n">
        <f aca="false">+$H703*J703</f>
        <v>1073.8</v>
      </c>
      <c r="L703" s="122" t="n">
        <v>3.25</v>
      </c>
      <c r="M703" s="122" t="n">
        <v>18</v>
      </c>
      <c r="N703" s="121" t="n">
        <f aca="false">+$H703*L703</f>
        <v>5369</v>
      </c>
      <c r="O703" s="121" t="n">
        <f aca="false">+$H703*M703</f>
        <v>29736</v>
      </c>
      <c r="P703" s="121" t="n">
        <f aca="false">+SUM(N703:O703)</f>
        <v>35105</v>
      </c>
      <c r="R703" s="109"/>
      <c r="S703" s="109" t="n">
        <f aca="false">+R703*$H703</f>
        <v>0</v>
      </c>
      <c r="T703" s="109"/>
      <c r="U703" s="109" t="n">
        <f aca="false">+T703*$H703</f>
        <v>0</v>
      </c>
      <c r="V703" s="109" t="n">
        <f aca="false">+T703*$V$11</f>
        <v>0</v>
      </c>
      <c r="W703" s="109" t="n">
        <f aca="false">+V703*$H703</f>
        <v>0</v>
      </c>
      <c r="X703" s="109"/>
      <c r="Y703" s="109" t="n">
        <f aca="false">+X703*$H703</f>
        <v>0</v>
      </c>
      <c r="Z703" s="109"/>
      <c r="AA703" s="109" t="n">
        <f aca="false">+Z703*$H703</f>
        <v>0</v>
      </c>
      <c r="AB703" s="109"/>
      <c r="AC703" s="109" t="n">
        <f aca="false">+AB703*$H703</f>
        <v>0</v>
      </c>
      <c r="AD703" s="109" t="n">
        <f aca="false">+R703+V703+X703+Z703+AB703</f>
        <v>0</v>
      </c>
      <c r="AE703" s="109" t="n">
        <f aca="false">+AD703*$H703</f>
        <v>0</v>
      </c>
    </row>
    <row r="704" customFormat="false" ht="16.5" hidden="true" customHeight="true" outlineLevel="0" collapsed="false">
      <c r="A704" s="102"/>
      <c r="B704" s="117" t="s">
        <v>1114</v>
      </c>
      <c r="C704" s="111"/>
      <c r="D704" s="118" t="s">
        <v>1115</v>
      </c>
      <c r="E704" s="113" t="s">
        <v>85</v>
      </c>
      <c r="F704" s="119" t="n">
        <v>0</v>
      </c>
      <c r="G704" s="119" t="n">
        <v>0</v>
      </c>
      <c r="H704" s="115" t="n">
        <f aca="false">IFERROR(SUM($F704:$G704),"")</f>
        <v>0</v>
      </c>
      <c r="J704" s="116"/>
      <c r="K704" s="116"/>
      <c r="L704" s="116"/>
      <c r="M704" s="116"/>
      <c r="N704" s="116"/>
      <c r="O704" s="116"/>
      <c r="P704" s="116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</row>
    <row r="705" customFormat="false" ht="16.5" hidden="true" customHeight="true" outlineLevel="0" collapsed="false">
      <c r="A705" s="102"/>
      <c r="B705" s="117" t="s">
        <v>1116</v>
      </c>
      <c r="C705" s="111"/>
      <c r="D705" s="118" t="s">
        <v>1117</v>
      </c>
      <c r="E705" s="113" t="s">
        <v>85</v>
      </c>
      <c r="F705" s="119" t="n">
        <v>0</v>
      </c>
      <c r="G705" s="119" t="n">
        <v>0</v>
      </c>
      <c r="H705" s="115" t="n">
        <f aca="false">IFERROR(SUM($F705:$G705),"")</f>
        <v>0</v>
      </c>
      <c r="J705" s="116"/>
      <c r="K705" s="116"/>
      <c r="L705" s="116"/>
      <c r="M705" s="116"/>
      <c r="N705" s="116"/>
      <c r="O705" s="116"/>
      <c r="P705" s="116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</row>
    <row r="706" customFormat="false" ht="16.5" hidden="false" customHeight="true" outlineLevel="0" collapsed="false">
      <c r="A706" s="102"/>
      <c r="B706" s="117" t="s">
        <v>1118</v>
      </c>
      <c r="C706" s="111"/>
      <c r="D706" s="118" t="s">
        <v>1119</v>
      </c>
      <c r="E706" s="113" t="s">
        <v>85</v>
      </c>
      <c r="F706" s="119" t="n">
        <v>341</v>
      </c>
      <c r="G706" s="119" t="n">
        <v>0</v>
      </c>
      <c r="H706" s="115" t="n">
        <f aca="false">IFERROR(SUM($F706:$G706),"")</f>
        <v>341</v>
      </c>
      <c r="J706" s="120" t="n">
        <v>0.8</v>
      </c>
      <c r="K706" s="121" t="n">
        <f aca="false">+$H706*J706</f>
        <v>272.8</v>
      </c>
      <c r="L706" s="122" t="n">
        <v>4</v>
      </c>
      <c r="M706" s="122" t="n">
        <v>25</v>
      </c>
      <c r="N706" s="121" t="n">
        <f aca="false">+$H706*L706</f>
        <v>1364</v>
      </c>
      <c r="O706" s="121" t="n">
        <f aca="false">+$H706*M706</f>
        <v>8525</v>
      </c>
      <c r="P706" s="121" t="n">
        <f aca="false">+SUM(N706:O706)</f>
        <v>9889</v>
      </c>
      <c r="R706" s="109"/>
      <c r="S706" s="109" t="n">
        <f aca="false">+R706*$H706</f>
        <v>0</v>
      </c>
      <c r="T706" s="109"/>
      <c r="U706" s="109" t="n">
        <f aca="false">+T706*$H706</f>
        <v>0</v>
      </c>
      <c r="V706" s="109" t="n">
        <f aca="false">+T706*$V$11</f>
        <v>0</v>
      </c>
      <c r="W706" s="109" t="n">
        <f aca="false">+V706*$H706</f>
        <v>0</v>
      </c>
      <c r="X706" s="109"/>
      <c r="Y706" s="109" t="n">
        <f aca="false">+X706*$H706</f>
        <v>0</v>
      </c>
      <c r="Z706" s="109"/>
      <c r="AA706" s="109" t="n">
        <f aca="false">+Z706*$H706</f>
        <v>0</v>
      </c>
      <c r="AB706" s="109"/>
      <c r="AC706" s="109" t="n">
        <f aca="false">+AB706*$H706</f>
        <v>0</v>
      </c>
      <c r="AD706" s="109" t="n">
        <f aca="false">+R706+V706+X706+Z706+AB706</f>
        <v>0</v>
      </c>
      <c r="AE706" s="109" t="n">
        <f aca="false">+AD706*$H706</f>
        <v>0</v>
      </c>
    </row>
    <row r="707" customFormat="false" ht="16.5" hidden="false" customHeight="true" outlineLevel="0" collapsed="false">
      <c r="A707" s="102"/>
      <c r="B707" s="117" t="s">
        <v>1120</v>
      </c>
      <c r="C707" s="111"/>
      <c r="D707" s="118" t="s">
        <v>1121</v>
      </c>
      <c r="E707" s="113" t="s">
        <v>85</v>
      </c>
      <c r="F707" s="119" t="n">
        <v>341</v>
      </c>
      <c r="G707" s="119" t="n">
        <v>0</v>
      </c>
      <c r="H707" s="115" t="n">
        <f aca="false">IFERROR(SUM($F707:$G707),"")</f>
        <v>341</v>
      </c>
      <c r="J707" s="120" t="n">
        <v>1</v>
      </c>
      <c r="K707" s="121" t="n">
        <f aca="false">+$H707*J707</f>
        <v>341</v>
      </c>
      <c r="L707" s="122" t="n">
        <v>5</v>
      </c>
      <c r="M707" s="122" t="n">
        <v>35</v>
      </c>
      <c r="N707" s="121" t="n">
        <f aca="false">+$H707*L707</f>
        <v>1705</v>
      </c>
      <c r="O707" s="121" t="n">
        <f aca="false">+$H707*M707</f>
        <v>11935</v>
      </c>
      <c r="P707" s="121" t="n">
        <f aca="false">+SUM(N707:O707)</f>
        <v>13640</v>
      </c>
      <c r="R707" s="109"/>
      <c r="S707" s="109" t="n">
        <f aca="false">+R707*$H707</f>
        <v>0</v>
      </c>
      <c r="T707" s="109"/>
      <c r="U707" s="109" t="n">
        <f aca="false">+T707*$H707</f>
        <v>0</v>
      </c>
      <c r="V707" s="109" t="n">
        <f aca="false">+T707*$V$11</f>
        <v>0</v>
      </c>
      <c r="W707" s="109" t="n">
        <f aca="false">+V707*$H707</f>
        <v>0</v>
      </c>
      <c r="X707" s="109"/>
      <c r="Y707" s="109" t="n">
        <f aca="false">+X707*$H707</f>
        <v>0</v>
      </c>
      <c r="Z707" s="109"/>
      <c r="AA707" s="109" t="n">
        <f aca="false">+Z707*$H707</f>
        <v>0</v>
      </c>
      <c r="AB707" s="109"/>
      <c r="AC707" s="109" t="n">
        <f aca="false">+AB707*$H707</f>
        <v>0</v>
      </c>
      <c r="AD707" s="109" t="n">
        <f aca="false">+R707+V707+X707+Z707+AB707</f>
        <v>0</v>
      </c>
      <c r="AE707" s="109" t="n">
        <f aca="false">+AD707*$H707</f>
        <v>0</v>
      </c>
    </row>
    <row r="708" customFormat="false" ht="16.5" hidden="true" customHeight="true" outlineLevel="0" collapsed="false">
      <c r="A708" s="102"/>
      <c r="B708" s="117" t="s">
        <v>1122</v>
      </c>
      <c r="C708" s="111"/>
      <c r="D708" s="118" t="s">
        <v>1123</v>
      </c>
      <c r="E708" s="113" t="s">
        <v>85</v>
      </c>
      <c r="F708" s="119" t="n">
        <v>0</v>
      </c>
      <c r="G708" s="119" t="n">
        <v>0</v>
      </c>
      <c r="H708" s="115" t="n">
        <f aca="false">IFERROR(SUM($F708:$G708),"")</f>
        <v>0</v>
      </c>
      <c r="J708" s="116"/>
      <c r="K708" s="116"/>
      <c r="L708" s="116"/>
      <c r="M708" s="116"/>
      <c r="N708" s="116"/>
      <c r="O708" s="116"/>
      <c r="P708" s="116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</row>
    <row r="709" customFormat="false" ht="16.5" hidden="true" customHeight="true" outlineLevel="0" collapsed="false">
      <c r="A709" s="102"/>
      <c r="B709" s="117" t="s">
        <v>1124</v>
      </c>
      <c r="C709" s="111"/>
      <c r="D709" s="118" t="s">
        <v>1125</v>
      </c>
      <c r="E709" s="113" t="s">
        <v>85</v>
      </c>
      <c r="F709" s="119" t="n">
        <v>0</v>
      </c>
      <c r="G709" s="119" t="n">
        <v>0</v>
      </c>
      <c r="H709" s="115" t="n">
        <f aca="false">IFERROR(SUM($F709:$G709),"")</f>
        <v>0</v>
      </c>
      <c r="J709" s="116"/>
      <c r="K709" s="116"/>
      <c r="L709" s="116"/>
      <c r="M709" s="116"/>
      <c r="N709" s="116"/>
      <c r="O709" s="116"/>
      <c r="P709" s="116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</row>
    <row r="710" customFormat="false" ht="16.5" hidden="true" customHeight="true" outlineLevel="0" collapsed="false">
      <c r="A710" s="102"/>
      <c r="B710" s="117" t="s">
        <v>1126</v>
      </c>
      <c r="C710" s="111"/>
      <c r="D710" s="118" t="s">
        <v>1127</v>
      </c>
      <c r="E710" s="113" t="s">
        <v>85</v>
      </c>
      <c r="F710" s="119" t="n">
        <v>0</v>
      </c>
      <c r="G710" s="119" t="n">
        <v>0</v>
      </c>
      <c r="H710" s="115" t="n">
        <f aca="false">IFERROR(SUM($F710:$G710),"")</f>
        <v>0</v>
      </c>
      <c r="J710" s="116"/>
      <c r="K710" s="116"/>
      <c r="L710" s="116"/>
      <c r="M710" s="116"/>
      <c r="N710" s="116"/>
      <c r="O710" s="116"/>
      <c r="P710" s="116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</row>
    <row r="711" customFormat="false" ht="16.5" hidden="true" customHeight="true" outlineLevel="0" collapsed="false">
      <c r="A711" s="102"/>
      <c r="B711" s="117" t="s">
        <v>1128</v>
      </c>
      <c r="C711" s="111"/>
      <c r="D711" s="118" t="s">
        <v>1129</v>
      </c>
      <c r="E711" s="113" t="s">
        <v>85</v>
      </c>
      <c r="F711" s="119" t="n">
        <v>0</v>
      </c>
      <c r="G711" s="119" t="n">
        <v>0</v>
      </c>
      <c r="H711" s="115" t="n">
        <f aca="false">IFERROR(SUM($F711:$G711),"")</f>
        <v>0</v>
      </c>
      <c r="J711" s="116"/>
      <c r="K711" s="116"/>
      <c r="L711" s="116"/>
      <c r="M711" s="116"/>
      <c r="N711" s="116"/>
      <c r="O711" s="116"/>
      <c r="P711" s="116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</row>
    <row r="712" customFormat="false" ht="16.5" hidden="true" customHeight="true" outlineLevel="0" collapsed="false">
      <c r="A712" s="102"/>
      <c r="B712" s="117" t="s">
        <v>1130</v>
      </c>
      <c r="C712" s="111"/>
      <c r="D712" s="118" t="s">
        <v>1131</v>
      </c>
      <c r="E712" s="113" t="s">
        <v>85</v>
      </c>
      <c r="F712" s="119" t="n">
        <v>0</v>
      </c>
      <c r="G712" s="119" t="n">
        <v>0</v>
      </c>
      <c r="H712" s="115" t="n">
        <f aca="false">IFERROR(SUM($F712:$G712),"")</f>
        <v>0</v>
      </c>
      <c r="J712" s="116"/>
      <c r="K712" s="116"/>
      <c r="L712" s="116"/>
      <c r="M712" s="116"/>
      <c r="N712" s="116"/>
      <c r="O712" s="116"/>
      <c r="P712" s="116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</row>
    <row r="713" customFormat="false" ht="16.5" hidden="true" customHeight="true" outlineLevel="0" collapsed="false">
      <c r="A713" s="102"/>
      <c r="B713" s="117" t="s">
        <v>1132</v>
      </c>
      <c r="C713" s="111"/>
      <c r="D713" s="118" t="s">
        <v>1133</v>
      </c>
      <c r="E713" s="113" t="s">
        <v>85</v>
      </c>
      <c r="F713" s="119" t="n">
        <v>0</v>
      </c>
      <c r="G713" s="119" t="n">
        <v>0</v>
      </c>
      <c r="H713" s="115" t="n">
        <f aca="false">IFERROR(SUM($F713:$G713),"")</f>
        <v>0</v>
      </c>
      <c r="J713" s="116"/>
      <c r="K713" s="116"/>
      <c r="L713" s="116"/>
      <c r="M713" s="116"/>
      <c r="N713" s="116"/>
      <c r="O713" s="116"/>
      <c r="P713" s="116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</row>
    <row r="714" customFormat="false" ht="16.5" hidden="true" customHeight="true" outlineLevel="0" collapsed="false">
      <c r="A714" s="102"/>
      <c r="B714" s="117" t="s">
        <v>1134</v>
      </c>
      <c r="C714" s="111"/>
      <c r="D714" s="118" t="s">
        <v>1135</v>
      </c>
      <c r="E714" s="113" t="s">
        <v>85</v>
      </c>
      <c r="F714" s="119" t="n">
        <v>0</v>
      </c>
      <c r="G714" s="119" t="n">
        <v>0</v>
      </c>
      <c r="H714" s="115" t="n">
        <f aca="false">IFERROR(SUM($F714:$G714),"")</f>
        <v>0</v>
      </c>
      <c r="J714" s="116"/>
      <c r="K714" s="116"/>
      <c r="L714" s="116"/>
      <c r="M714" s="116"/>
      <c r="N714" s="116"/>
      <c r="O714" s="116"/>
      <c r="P714" s="116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</row>
    <row r="715" customFormat="false" ht="16.5" hidden="false" customHeight="true" outlineLevel="0" collapsed="false">
      <c r="A715" s="102"/>
      <c r="B715" s="110" t="s">
        <v>1136</v>
      </c>
      <c r="C715" s="111"/>
      <c r="D715" s="123" t="s">
        <v>1137</v>
      </c>
      <c r="E715" s="113"/>
      <c r="F715" s="119" t="n">
        <v>0</v>
      </c>
      <c r="G715" s="119" t="n">
        <v>0</v>
      </c>
      <c r="H715" s="115" t="n">
        <f aca="false">IFERROR(SUM($F715:$G715),"")</f>
        <v>0</v>
      </c>
      <c r="J715" s="116"/>
      <c r="K715" s="116"/>
      <c r="L715" s="116"/>
      <c r="M715" s="116"/>
      <c r="N715" s="116"/>
      <c r="O715" s="116"/>
      <c r="P715" s="116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</row>
    <row r="716" customFormat="false" ht="16.5" hidden="true" customHeight="true" outlineLevel="0" collapsed="false">
      <c r="A716" s="102"/>
      <c r="B716" s="117" t="s">
        <v>1138</v>
      </c>
      <c r="C716" s="111"/>
      <c r="D716" s="118" t="s">
        <v>1139</v>
      </c>
      <c r="E716" s="113" t="s">
        <v>85</v>
      </c>
      <c r="F716" s="119" t="n">
        <v>0</v>
      </c>
      <c r="G716" s="119" t="n">
        <v>0</v>
      </c>
      <c r="H716" s="115" t="n">
        <f aca="false">IFERROR(SUM($F716:$G716),"")</f>
        <v>0</v>
      </c>
      <c r="J716" s="116"/>
      <c r="K716" s="116"/>
      <c r="L716" s="116"/>
      <c r="M716" s="116"/>
      <c r="N716" s="116"/>
      <c r="O716" s="116"/>
      <c r="P716" s="116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</row>
    <row r="717" customFormat="false" ht="16.5" hidden="false" customHeight="true" outlineLevel="0" collapsed="false">
      <c r="A717" s="102"/>
      <c r="B717" s="117" t="s">
        <v>1140</v>
      </c>
      <c r="C717" s="111"/>
      <c r="D717" s="118" t="s">
        <v>1141</v>
      </c>
      <c r="E717" s="113" t="s">
        <v>85</v>
      </c>
      <c r="F717" s="119" t="n">
        <v>1542</v>
      </c>
      <c r="G717" s="119" t="n">
        <v>0</v>
      </c>
      <c r="H717" s="115" t="n">
        <f aca="false">IFERROR(SUM($F717:$G717),"")</f>
        <v>1542</v>
      </c>
      <c r="J717" s="120" t="n">
        <v>2.4</v>
      </c>
      <c r="K717" s="121" t="n">
        <f aca="false">+$H717*J717</f>
        <v>3700.8</v>
      </c>
      <c r="L717" s="122" t="n">
        <v>12</v>
      </c>
      <c r="M717" s="122" t="n">
        <v>55</v>
      </c>
      <c r="N717" s="121" t="n">
        <f aca="false">+$H717*L717</f>
        <v>18504</v>
      </c>
      <c r="O717" s="121" t="n">
        <f aca="false">+$H717*M717</f>
        <v>84810</v>
      </c>
      <c r="P717" s="121" t="n">
        <f aca="false">+SUM(N717:O717)</f>
        <v>103314</v>
      </c>
      <c r="R717" s="109"/>
      <c r="S717" s="109" t="n">
        <f aca="false">+R717*$H717</f>
        <v>0</v>
      </c>
      <c r="T717" s="109"/>
      <c r="U717" s="109" t="n">
        <f aca="false">+T717*$H717</f>
        <v>0</v>
      </c>
      <c r="V717" s="109" t="n">
        <f aca="false">+T717*$V$11</f>
        <v>0</v>
      </c>
      <c r="W717" s="109" t="n">
        <f aca="false">+V717*$H717</f>
        <v>0</v>
      </c>
      <c r="X717" s="109"/>
      <c r="Y717" s="109" t="n">
        <f aca="false">+X717*$H717</f>
        <v>0</v>
      </c>
      <c r="Z717" s="109"/>
      <c r="AA717" s="109" t="n">
        <f aca="false">+Z717*$H717</f>
        <v>0</v>
      </c>
      <c r="AB717" s="109"/>
      <c r="AC717" s="109" t="n">
        <f aca="false">+AB717*$H717</f>
        <v>0</v>
      </c>
      <c r="AD717" s="109" t="n">
        <f aca="false">+R717+V717+X717+Z717+AB717</f>
        <v>0</v>
      </c>
      <c r="AE717" s="109" t="n">
        <f aca="false">+AD717*$H717</f>
        <v>0</v>
      </c>
    </row>
    <row r="718" customFormat="false" ht="16.5" hidden="true" customHeight="true" outlineLevel="0" collapsed="false">
      <c r="A718" s="102"/>
      <c r="B718" s="117" t="s">
        <v>1142</v>
      </c>
      <c r="C718" s="111"/>
      <c r="D718" s="118" t="s">
        <v>1143</v>
      </c>
      <c r="E718" s="113" t="s">
        <v>85</v>
      </c>
      <c r="F718" s="119" t="n">
        <v>0</v>
      </c>
      <c r="G718" s="119" t="n">
        <v>0</v>
      </c>
      <c r="H718" s="115" t="n">
        <f aca="false">IFERROR(SUM($F718:$G718),"")</f>
        <v>0</v>
      </c>
      <c r="J718" s="116"/>
      <c r="K718" s="116"/>
      <c r="L718" s="116"/>
      <c r="M718" s="116"/>
      <c r="N718" s="116"/>
      <c r="O718" s="116"/>
      <c r="P718" s="116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</row>
    <row r="719" customFormat="false" ht="16.5" hidden="true" customHeight="true" outlineLevel="0" collapsed="false">
      <c r="A719" s="102"/>
      <c r="B719" s="117" t="s">
        <v>1144</v>
      </c>
      <c r="C719" s="111"/>
      <c r="D719" s="118" t="s">
        <v>1145</v>
      </c>
      <c r="E719" s="113" t="s">
        <v>85</v>
      </c>
      <c r="F719" s="119" t="n">
        <v>0</v>
      </c>
      <c r="G719" s="119" t="n">
        <v>0</v>
      </c>
      <c r="H719" s="115" t="n">
        <f aca="false">IFERROR(SUM($F719:$G719),"")</f>
        <v>0</v>
      </c>
      <c r="J719" s="116"/>
      <c r="K719" s="116"/>
      <c r="L719" s="116"/>
      <c r="M719" s="116"/>
      <c r="N719" s="116"/>
      <c r="O719" s="116"/>
      <c r="P719" s="116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</row>
    <row r="720" customFormat="false" ht="16.5" hidden="true" customHeight="true" outlineLevel="0" collapsed="false">
      <c r="A720" s="102"/>
      <c r="B720" s="117" t="s">
        <v>1146</v>
      </c>
      <c r="C720" s="111"/>
      <c r="D720" s="118" t="s">
        <v>1147</v>
      </c>
      <c r="E720" s="113" t="s">
        <v>85</v>
      </c>
      <c r="F720" s="119" t="n">
        <v>0</v>
      </c>
      <c r="G720" s="119" t="n">
        <v>0</v>
      </c>
      <c r="H720" s="115" t="n">
        <f aca="false">IFERROR(SUM($F720:$G720),"")</f>
        <v>0</v>
      </c>
      <c r="J720" s="116"/>
      <c r="K720" s="116"/>
      <c r="L720" s="116"/>
      <c r="M720" s="116"/>
      <c r="N720" s="116"/>
      <c r="O720" s="116"/>
      <c r="P720" s="116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</row>
    <row r="721" customFormat="false" ht="16.5" hidden="true" customHeight="true" outlineLevel="0" collapsed="false">
      <c r="A721" s="102"/>
      <c r="B721" s="117" t="s">
        <v>1148</v>
      </c>
      <c r="C721" s="111"/>
      <c r="D721" s="118" t="s">
        <v>1149</v>
      </c>
      <c r="E721" s="113" t="s">
        <v>85</v>
      </c>
      <c r="F721" s="119" t="n">
        <v>0</v>
      </c>
      <c r="G721" s="119" t="n">
        <v>0</v>
      </c>
      <c r="H721" s="115" t="n">
        <f aca="false">IFERROR(SUM($F721:$G721),"")</f>
        <v>0</v>
      </c>
      <c r="J721" s="116"/>
      <c r="K721" s="116"/>
      <c r="L721" s="116"/>
      <c r="M721" s="116"/>
      <c r="N721" s="116"/>
      <c r="O721" s="116"/>
      <c r="P721" s="116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</row>
    <row r="722" customFormat="false" ht="16.5" hidden="true" customHeight="true" outlineLevel="0" collapsed="false">
      <c r="A722" s="102"/>
      <c r="B722" s="110" t="s">
        <v>1150</v>
      </c>
      <c r="C722" s="111"/>
      <c r="D722" s="123" t="s">
        <v>1151</v>
      </c>
      <c r="E722" s="113"/>
      <c r="F722" s="119" t="n">
        <v>0</v>
      </c>
      <c r="G722" s="119" t="n">
        <v>0</v>
      </c>
      <c r="H722" s="115" t="n">
        <f aca="false">IFERROR(SUM($F722:$G722),"")</f>
        <v>0</v>
      </c>
      <c r="J722" s="116"/>
      <c r="K722" s="116"/>
      <c r="L722" s="116"/>
      <c r="M722" s="116"/>
      <c r="N722" s="116"/>
      <c r="O722" s="116"/>
      <c r="P722" s="116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</row>
    <row r="723" customFormat="false" ht="16.5" hidden="true" customHeight="true" outlineLevel="0" collapsed="false">
      <c r="A723" s="102"/>
      <c r="B723" s="117" t="s">
        <v>1152</v>
      </c>
      <c r="C723" s="111"/>
      <c r="D723" s="118" t="s">
        <v>1153</v>
      </c>
      <c r="E723" s="113" t="s">
        <v>75</v>
      </c>
      <c r="F723" s="119" t="n">
        <v>0</v>
      </c>
      <c r="G723" s="119" t="n">
        <v>0</v>
      </c>
      <c r="H723" s="115" t="n">
        <f aca="false">IFERROR(SUM($F723:$G723),"")</f>
        <v>0</v>
      </c>
      <c r="J723" s="116"/>
      <c r="K723" s="116"/>
      <c r="L723" s="116"/>
      <c r="M723" s="116"/>
      <c r="N723" s="116"/>
      <c r="O723" s="116"/>
      <c r="P723" s="116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</row>
    <row r="724" customFormat="false" ht="16.5" hidden="false" customHeight="true" outlineLevel="0" collapsed="false">
      <c r="A724" s="102"/>
      <c r="B724" s="117"/>
      <c r="C724" s="111"/>
      <c r="D724" s="118"/>
      <c r="E724" s="113"/>
      <c r="F724" s="119" t="n">
        <v>0</v>
      </c>
      <c r="G724" s="119" t="n">
        <v>0</v>
      </c>
      <c r="H724" s="115" t="n">
        <f aca="false">IFERROR(SUM($F724:$G724),"")</f>
        <v>0</v>
      </c>
      <c r="J724" s="116"/>
      <c r="K724" s="116"/>
      <c r="L724" s="116"/>
      <c r="M724" s="116"/>
      <c r="N724" s="116"/>
      <c r="O724" s="116"/>
      <c r="P724" s="116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</row>
    <row r="725" customFormat="false" ht="16.5" hidden="false" customHeight="true" outlineLevel="0" collapsed="false">
      <c r="A725" s="102"/>
      <c r="B725" s="124"/>
      <c r="C725" s="125"/>
      <c r="D725" s="237"/>
      <c r="E725" s="127"/>
      <c r="F725" s="119" t="n">
        <v>0</v>
      </c>
      <c r="G725" s="119" t="n">
        <v>0</v>
      </c>
      <c r="H725" s="115" t="n">
        <f aca="false">IFERROR(SUM($F725:$G725),"")</f>
        <v>0</v>
      </c>
      <c r="J725" s="116"/>
      <c r="K725" s="116"/>
      <c r="L725" s="116"/>
      <c r="M725" s="116"/>
      <c r="N725" s="116"/>
      <c r="O725" s="116"/>
      <c r="P725" s="116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</row>
    <row r="726" customFormat="false" ht="16.5" hidden="false" customHeight="true" outlineLevel="0" collapsed="false">
      <c r="A726" s="102"/>
      <c r="B726" s="128"/>
      <c r="C726" s="128"/>
      <c r="D726" s="128"/>
      <c r="E726" s="232"/>
      <c r="F726" s="130" t="n">
        <v>0</v>
      </c>
      <c r="G726" s="130" t="n">
        <v>0</v>
      </c>
      <c r="H726" s="131" t="n">
        <f aca="false">IFERROR(SUM($F726:$G726),"")</f>
        <v>0</v>
      </c>
      <c r="J726" s="116"/>
      <c r="K726" s="116"/>
      <c r="L726" s="116"/>
      <c r="M726" s="116"/>
      <c r="N726" s="116"/>
      <c r="O726" s="116"/>
      <c r="P726" s="116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</row>
    <row r="727" customFormat="false" ht="16.5" hidden="false" customHeight="true" outlineLevel="0" collapsed="false">
      <c r="A727" s="102"/>
      <c r="B727" s="132"/>
      <c r="C727" s="104"/>
      <c r="D727" s="133"/>
      <c r="E727" s="234"/>
      <c r="F727" s="135"/>
      <c r="G727" s="135"/>
      <c r="H727" s="136" t="n">
        <f aca="false">IFERROR(SUM($F727:$G727),"")</f>
        <v>0</v>
      </c>
      <c r="J727" s="116"/>
      <c r="K727" s="116"/>
      <c r="L727" s="116"/>
      <c r="M727" s="116"/>
      <c r="N727" s="116"/>
      <c r="O727" s="116"/>
      <c r="P727" s="116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</row>
    <row r="728" customFormat="false" ht="16.5" hidden="false" customHeight="true" outlineLevel="0" collapsed="false">
      <c r="A728" s="102"/>
      <c r="B728" s="137"/>
      <c r="C728" s="137"/>
      <c r="D728" s="137"/>
      <c r="E728" s="235"/>
      <c r="F728" s="139" t="n">
        <v>0</v>
      </c>
      <c r="G728" s="139" t="n">
        <v>0</v>
      </c>
      <c r="H728" s="140" t="n">
        <f aca="false">IFERROR(SUM($F728:$G728),"")</f>
        <v>0</v>
      </c>
      <c r="J728" s="116"/>
      <c r="K728" s="116"/>
      <c r="L728" s="116"/>
      <c r="M728" s="116"/>
      <c r="N728" s="116"/>
      <c r="O728" s="116"/>
      <c r="P728" s="116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</row>
    <row r="729" customFormat="false" ht="16.5" hidden="false" customHeight="true" outlineLevel="0" collapsed="false">
      <c r="A729" s="102"/>
      <c r="B729" s="124"/>
      <c r="C729" s="141"/>
      <c r="D729" s="141"/>
      <c r="E729" s="127"/>
      <c r="F729" s="142" t="n">
        <v>0</v>
      </c>
      <c r="G729" s="142" t="n">
        <v>0</v>
      </c>
      <c r="H729" s="143" t="n">
        <f aca="false">IFERROR(SUM($F729:$G729),"")</f>
        <v>0</v>
      </c>
      <c r="J729" s="116"/>
      <c r="K729" s="116"/>
      <c r="L729" s="116"/>
      <c r="M729" s="116"/>
      <c r="N729" s="116"/>
      <c r="O729" s="116"/>
      <c r="P729" s="116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</row>
    <row r="730" customFormat="false" ht="16.5" hidden="false" customHeight="true" outlineLevel="0" collapsed="false">
      <c r="A730" s="102"/>
      <c r="B730" s="103" t="s">
        <v>1154</v>
      </c>
      <c r="C730" s="104"/>
      <c r="D730" s="104"/>
      <c r="E730" s="127"/>
      <c r="F730" s="142" t="n">
        <v>0</v>
      </c>
      <c r="G730" s="142" t="n">
        <v>0</v>
      </c>
      <c r="H730" s="143" t="n">
        <f aca="false">IFERROR(SUM($F730:$G730),"")</f>
        <v>0</v>
      </c>
      <c r="J730" s="116"/>
      <c r="K730" s="116"/>
      <c r="L730" s="116"/>
      <c r="M730" s="116"/>
      <c r="N730" s="116"/>
      <c r="O730" s="116"/>
      <c r="P730" s="116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</row>
    <row r="731" customFormat="false" ht="16.5" hidden="false" customHeight="true" outlineLevel="0" collapsed="false">
      <c r="A731" s="102"/>
      <c r="B731" s="144"/>
      <c r="C731" s="145"/>
      <c r="D731" s="146"/>
      <c r="E731" s="127"/>
      <c r="F731" s="142" t="n">
        <v>0</v>
      </c>
      <c r="G731" s="142" t="n">
        <v>0</v>
      </c>
      <c r="H731" s="143" t="n">
        <f aca="false">IFERROR(SUM($F731:$G731),"")</f>
        <v>0</v>
      </c>
      <c r="J731" s="116"/>
      <c r="K731" s="116"/>
      <c r="L731" s="116"/>
      <c r="M731" s="116"/>
      <c r="N731" s="116"/>
      <c r="O731" s="116"/>
      <c r="P731" s="116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</row>
    <row r="732" customFormat="false" ht="16.5" hidden="false" customHeight="true" outlineLevel="0" collapsed="false">
      <c r="A732" s="102"/>
      <c r="B732" s="124"/>
      <c r="C732" s="125"/>
      <c r="D732" s="141"/>
      <c r="E732" s="127"/>
      <c r="F732" s="142" t="n">
        <v>0</v>
      </c>
      <c r="G732" s="236" t="n">
        <v>0</v>
      </c>
      <c r="H732" s="143" t="n">
        <f aca="false">IFERROR(SUM($F732:$G732),"")</f>
        <v>0</v>
      </c>
      <c r="J732" s="116"/>
      <c r="K732" s="116"/>
      <c r="L732" s="116"/>
      <c r="M732" s="116"/>
      <c r="N732" s="116"/>
      <c r="O732" s="116"/>
      <c r="P732" s="116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</row>
    <row r="733" customFormat="false" ht="16.5" hidden="false" customHeight="true" outlineLevel="0" collapsed="false">
      <c r="A733" s="102"/>
      <c r="B733" s="110" t="s">
        <v>1155</v>
      </c>
      <c r="C733" s="111"/>
      <c r="D733" s="123" t="s">
        <v>1156</v>
      </c>
      <c r="E733" s="113"/>
      <c r="F733" s="119" t="n">
        <v>0</v>
      </c>
      <c r="G733" s="119" t="n">
        <v>0</v>
      </c>
      <c r="H733" s="115" t="n">
        <f aca="false">IFERROR(SUM($F733:$G733),"")</f>
        <v>0</v>
      </c>
      <c r="J733" s="116"/>
      <c r="K733" s="116"/>
      <c r="L733" s="116"/>
      <c r="M733" s="116"/>
      <c r="N733" s="116"/>
      <c r="O733" s="116"/>
      <c r="P733" s="116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</row>
    <row r="734" customFormat="false" ht="16.5" hidden="false" customHeight="true" outlineLevel="0" collapsed="false">
      <c r="A734" s="102"/>
      <c r="B734" s="117" t="s">
        <v>1157</v>
      </c>
      <c r="C734" s="111"/>
      <c r="D734" s="118" t="s">
        <v>1158</v>
      </c>
      <c r="E734" s="113" t="s">
        <v>85</v>
      </c>
      <c r="F734" s="119" t="n">
        <v>1</v>
      </c>
      <c r="G734" s="119" t="n">
        <v>0</v>
      </c>
      <c r="H734" s="115" t="n">
        <f aca="false">IFERROR(SUM($F734:$G734),"")</f>
        <v>1</v>
      </c>
      <c r="J734" s="120" t="n">
        <v>38</v>
      </c>
      <c r="K734" s="121" t="n">
        <f aca="false">+$H734*J734</f>
        <v>38</v>
      </c>
      <c r="L734" s="122" t="n">
        <v>190</v>
      </c>
      <c r="M734" s="122" t="n">
        <v>0</v>
      </c>
      <c r="N734" s="121" t="n">
        <f aca="false">+$H734*L734</f>
        <v>190</v>
      </c>
      <c r="O734" s="121" t="n">
        <f aca="false">+$H734*M734</f>
        <v>0</v>
      </c>
      <c r="P734" s="121" t="n">
        <f aca="false">+SUM(N734:O734)</f>
        <v>190</v>
      </c>
      <c r="R734" s="109"/>
      <c r="S734" s="109" t="n">
        <f aca="false">+R734*$H734</f>
        <v>0</v>
      </c>
      <c r="T734" s="109"/>
      <c r="U734" s="109" t="n">
        <f aca="false">+T734*$H734</f>
        <v>0</v>
      </c>
      <c r="V734" s="109" t="n">
        <f aca="false">+T734*$V$11</f>
        <v>0</v>
      </c>
      <c r="W734" s="109" t="n">
        <f aca="false">+V734*$H734</f>
        <v>0</v>
      </c>
      <c r="X734" s="109"/>
      <c r="Y734" s="109" t="n">
        <f aca="false">+X734*$H734</f>
        <v>0</v>
      </c>
      <c r="Z734" s="109"/>
      <c r="AA734" s="109" t="n">
        <f aca="false">+Z734*$H734</f>
        <v>0</v>
      </c>
      <c r="AB734" s="109"/>
      <c r="AC734" s="109" t="n">
        <f aca="false">+AB734*$H734</f>
        <v>0</v>
      </c>
      <c r="AD734" s="109" t="n">
        <f aca="false">+R734+V734+X734+Z734+AB734</f>
        <v>0</v>
      </c>
      <c r="AE734" s="109" t="n">
        <f aca="false">+AD734*$H734</f>
        <v>0</v>
      </c>
    </row>
    <row r="735" customFormat="false" ht="16.5" hidden="true" customHeight="true" outlineLevel="0" collapsed="false">
      <c r="A735" s="102"/>
      <c r="B735" s="117" t="s">
        <v>1159</v>
      </c>
      <c r="C735" s="111"/>
      <c r="D735" s="118" t="s">
        <v>1160</v>
      </c>
      <c r="E735" s="113" t="s">
        <v>85</v>
      </c>
      <c r="F735" s="119" t="n">
        <v>0</v>
      </c>
      <c r="G735" s="119" t="n">
        <v>0</v>
      </c>
      <c r="H735" s="115" t="n">
        <f aca="false">IFERROR(SUM($F735:$G735),"")</f>
        <v>0</v>
      </c>
      <c r="J735" s="116"/>
      <c r="K735" s="116"/>
      <c r="L735" s="116"/>
      <c r="M735" s="116"/>
      <c r="N735" s="116"/>
      <c r="O735" s="116"/>
      <c r="P735" s="116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</row>
    <row r="736" customFormat="false" ht="16.5" hidden="false" customHeight="true" outlineLevel="0" collapsed="false">
      <c r="A736" s="102"/>
      <c r="B736" s="110" t="s">
        <v>1161</v>
      </c>
      <c r="C736" s="111"/>
      <c r="D736" s="123" t="s">
        <v>1162</v>
      </c>
      <c r="E736" s="113"/>
      <c r="F736" s="119" t="n">
        <v>0</v>
      </c>
      <c r="G736" s="119" t="n">
        <v>0</v>
      </c>
      <c r="H736" s="115" t="n">
        <f aca="false">IFERROR(SUM($F736:$G736),"")</f>
        <v>0</v>
      </c>
      <c r="J736" s="116"/>
      <c r="K736" s="116"/>
      <c r="L736" s="116"/>
      <c r="M736" s="116"/>
      <c r="N736" s="116"/>
      <c r="O736" s="116"/>
      <c r="P736" s="116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</row>
    <row r="737" customFormat="false" ht="16.5" hidden="true" customHeight="true" outlineLevel="0" collapsed="false">
      <c r="A737" s="102"/>
      <c r="B737" s="117" t="s">
        <v>1163</v>
      </c>
      <c r="C737" s="111"/>
      <c r="D737" s="118" t="s">
        <v>1164</v>
      </c>
      <c r="E737" s="113" t="s">
        <v>85</v>
      </c>
      <c r="F737" s="119" t="n">
        <v>0</v>
      </c>
      <c r="G737" s="119" t="n">
        <v>0</v>
      </c>
      <c r="H737" s="115" t="n">
        <f aca="false">IFERROR(SUM($F737:$G737),"")</f>
        <v>0</v>
      </c>
      <c r="J737" s="116"/>
      <c r="K737" s="116"/>
      <c r="L737" s="116"/>
      <c r="M737" s="116"/>
      <c r="N737" s="116"/>
      <c r="O737" s="116"/>
      <c r="P737" s="116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</row>
    <row r="738" customFormat="false" ht="16.5" hidden="true" customHeight="true" outlineLevel="0" collapsed="false">
      <c r="A738" s="102"/>
      <c r="B738" s="117" t="s">
        <v>1165</v>
      </c>
      <c r="C738" s="111"/>
      <c r="D738" s="118" t="s">
        <v>1166</v>
      </c>
      <c r="E738" s="113" t="s">
        <v>75</v>
      </c>
      <c r="F738" s="119" t="n">
        <v>0</v>
      </c>
      <c r="G738" s="119" t="n">
        <v>0</v>
      </c>
      <c r="H738" s="115" t="n">
        <f aca="false">IFERROR(SUM($F738:$G738),"")</f>
        <v>0</v>
      </c>
      <c r="J738" s="116"/>
      <c r="K738" s="116"/>
      <c r="L738" s="116"/>
      <c r="M738" s="116"/>
      <c r="N738" s="116"/>
      <c r="O738" s="116"/>
      <c r="P738" s="116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</row>
    <row r="739" customFormat="false" ht="16.5" hidden="false" customHeight="true" outlineLevel="0" collapsed="false">
      <c r="A739" s="102"/>
      <c r="B739" s="117" t="s">
        <v>1167</v>
      </c>
      <c r="C739" s="111"/>
      <c r="D739" s="118" t="s">
        <v>1168</v>
      </c>
      <c r="E739" s="113" t="s">
        <v>75</v>
      </c>
      <c r="F739" s="119" t="n">
        <v>2530</v>
      </c>
      <c r="G739" s="119" t="n">
        <v>0</v>
      </c>
      <c r="H739" s="115" t="n">
        <f aca="false">IFERROR(SUM($F739:$G739),"")</f>
        <v>2530</v>
      </c>
      <c r="J739" s="120" t="n">
        <v>0.16</v>
      </c>
      <c r="K739" s="121" t="n">
        <f aca="false">+$H739*J739</f>
        <v>404.8</v>
      </c>
      <c r="L739" s="122" t="n">
        <v>0.8</v>
      </c>
      <c r="M739" s="122" t="n">
        <v>15</v>
      </c>
      <c r="N739" s="121" t="n">
        <f aca="false">+$H739*L739</f>
        <v>2024</v>
      </c>
      <c r="O739" s="121" t="n">
        <f aca="false">+$H739*M739</f>
        <v>37950</v>
      </c>
      <c r="P739" s="121" t="n">
        <f aca="false">+SUM(N739:O739)</f>
        <v>39974</v>
      </c>
      <c r="R739" s="109"/>
      <c r="S739" s="109" t="n">
        <f aca="false">+R739*$H739</f>
        <v>0</v>
      </c>
      <c r="T739" s="109"/>
      <c r="U739" s="109" t="n">
        <f aca="false">+T739*$H739</f>
        <v>0</v>
      </c>
      <c r="V739" s="109" t="n">
        <f aca="false">+T739*$V$11</f>
        <v>0</v>
      </c>
      <c r="W739" s="109" t="n">
        <f aca="false">+V739*$H739</f>
        <v>0</v>
      </c>
      <c r="X739" s="109"/>
      <c r="Y739" s="109" t="n">
        <f aca="false">+X739*$H739</f>
        <v>0</v>
      </c>
      <c r="Z739" s="109"/>
      <c r="AA739" s="109" t="n">
        <f aca="false">+Z739*$H739</f>
        <v>0</v>
      </c>
      <c r="AB739" s="109"/>
      <c r="AC739" s="109" t="n">
        <f aca="false">+AB739*$H739</f>
        <v>0</v>
      </c>
      <c r="AD739" s="109" t="n">
        <f aca="false">+R739+V739+X739+Z739+AB739</f>
        <v>0</v>
      </c>
      <c r="AE739" s="109" t="n">
        <f aca="false">+AD739*$H739</f>
        <v>0</v>
      </c>
    </row>
    <row r="740" customFormat="false" ht="16.5" hidden="true" customHeight="true" outlineLevel="0" collapsed="false">
      <c r="A740" s="102"/>
      <c r="B740" s="117" t="s">
        <v>1169</v>
      </c>
      <c r="C740" s="111"/>
      <c r="D740" s="118" t="s">
        <v>1170</v>
      </c>
      <c r="E740" s="113" t="s">
        <v>85</v>
      </c>
      <c r="F740" s="119" t="n">
        <v>0</v>
      </c>
      <c r="G740" s="119" t="n">
        <v>0</v>
      </c>
      <c r="H740" s="115" t="n">
        <f aca="false">IFERROR(SUM($F740:$G740),"")</f>
        <v>0</v>
      </c>
      <c r="J740" s="116"/>
      <c r="K740" s="116"/>
      <c r="L740" s="116"/>
      <c r="M740" s="116"/>
      <c r="N740" s="116"/>
      <c r="O740" s="116"/>
      <c r="P740" s="116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</row>
    <row r="741" customFormat="false" ht="16.5" hidden="true" customHeight="true" outlineLevel="0" collapsed="false">
      <c r="A741" s="102"/>
      <c r="B741" s="117" t="s">
        <v>1171</v>
      </c>
      <c r="C741" s="111"/>
      <c r="D741" s="118" t="s">
        <v>1172</v>
      </c>
      <c r="E741" s="113" t="s">
        <v>75</v>
      </c>
      <c r="F741" s="119" t="n">
        <v>0</v>
      </c>
      <c r="G741" s="119" t="n">
        <v>0</v>
      </c>
      <c r="H741" s="115" t="n">
        <f aca="false">IFERROR(SUM($F741:$G741),"")</f>
        <v>0</v>
      </c>
      <c r="J741" s="116"/>
      <c r="K741" s="116"/>
      <c r="L741" s="116"/>
      <c r="M741" s="116"/>
      <c r="N741" s="116"/>
      <c r="O741" s="116"/>
      <c r="P741" s="116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</row>
    <row r="742" customFormat="false" ht="16.5" hidden="true" customHeight="true" outlineLevel="0" collapsed="false">
      <c r="A742" s="102"/>
      <c r="B742" s="117" t="s">
        <v>1173</v>
      </c>
      <c r="C742" s="111"/>
      <c r="D742" s="118" t="s">
        <v>1174</v>
      </c>
      <c r="E742" s="113" t="s">
        <v>85</v>
      </c>
      <c r="F742" s="119" t="n">
        <v>0</v>
      </c>
      <c r="G742" s="119" t="n">
        <v>0</v>
      </c>
      <c r="H742" s="115" t="n">
        <f aca="false">IFERROR(SUM($F742:$G742),"")</f>
        <v>0</v>
      </c>
      <c r="J742" s="116"/>
      <c r="K742" s="116"/>
      <c r="L742" s="116"/>
      <c r="M742" s="116"/>
      <c r="N742" s="116"/>
      <c r="O742" s="116"/>
      <c r="P742" s="116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</row>
    <row r="743" customFormat="false" ht="16.5" hidden="true" customHeight="true" outlineLevel="0" collapsed="false">
      <c r="A743" s="102"/>
      <c r="B743" s="117" t="s">
        <v>1175</v>
      </c>
      <c r="C743" s="111"/>
      <c r="D743" s="118" t="s">
        <v>1176</v>
      </c>
      <c r="E743" s="113" t="s">
        <v>85</v>
      </c>
      <c r="F743" s="119" t="n">
        <v>0</v>
      </c>
      <c r="G743" s="119" t="n">
        <v>0</v>
      </c>
      <c r="H743" s="115" t="n">
        <f aca="false">IFERROR(SUM($F743:$G743),"")</f>
        <v>0</v>
      </c>
      <c r="J743" s="116"/>
      <c r="K743" s="116"/>
      <c r="L743" s="116"/>
      <c r="M743" s="116"/>
      <c r="N743" s="116"/>
      <c r="O743" s="116"/>
      <c r="P743" s="116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</row>
    <row r="744" customFormat="false" ht="16.5" hidden="false" customHeight="true" outlineLevel="0" collapsed="false">
      <c r="A744" s="102"/>
      <c r="B744" s="110" t="s">
        <v>1177</v>
      </c>
      <c r="C744" s="111"/>
      <c r="D744" s="123" t="s">
        <v>1178</v>
      </c>
      <c r="E744" s="113"/>
      <c r="F744" s="119" t="n">
        <v>0</v>
      </c>
      <c r="G744" s="119" t="n">
        <v>0</v>
      </c>
      <c r="H744" s="115" t="n">
        <f aca="false">IFERROR(SUM($F744:$G744),"")</f>
        <v>0</v>
      </c>
      <c r="J744" s="116"/>
      <c r="K744" s="116"/>
      <c r="L744" s="116"/>
      <c r="M744" s="116"/>
      <c r="N744" s="116"/>
      <c r="O744" s="116"/>
      <c r="P744" s="116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</row>
    <row r="745" customFormat="false" ht="16.5" hidden="false" customHeight="true" outlineLevel="0" collapsed="false">
      <c r="A745" s="102"/>
      <c r="B745" s="117" t="s">
        <v>1179</v>
      </c>
      <c r="C745" s="111"/>
      <c r="D745" s="118" t="s">
        <v>1180</v>
      </c>
      <c r="E745" s="113" t="s">
        <v>85</v>
      </c>
      <c r="F745" s="119" t="n">
        <v>7</v>
      </c>
      <c r="G745" s="119" t="n">
        <v>0</v>
      </c>
      <c r="H745" s="115" t="n">
        <f aca="false">IFERROR(SUM($F745:$G745),"")</f>
        <v>7</v>
      </c>
      <c r="J745" s="120" t="n">
        <v>3.2</v>
      </c>
      <c r="K745" s="121" t="n">
        <f aca="false">+$H745*J745</f>
        <v>22.4</v>
      </c>
      <c r="L745" s="122" t="n">
        <v>16</v>
      </c>
      <c r="M745" s="122" t="n">
        <v>120</v>
      </c>
      <c r="N745" s="121" t="n">
        <f aca="false">+$H745*L745</f>
        <v>112</v>
      </c>
      <c r="O745" s="121" t="n">
        <f aca="false">+$H745*M745</f>
        <v>840</v>
      </c>
      <c r="P745" s="121" t="n">
        <f aca="false">+SUM(N745:O745)</f>
        <v>952</v>
      </c>
      <c r="R745" s="109"/>
      <c r="S745" s="109" t="n">
        <f aca="false">+R745*$H745</f>
        <v>0</v>
      </c>
      <c r="T745" s="109"/>
      <c r="U745" s="109" t="n">
        <f aca="false">+T745*$H745</f>
        <v>0</v>
      </c>
      <c r="V745" s="109" t="n">
        <f aca="false">+T745*$V$11</f>
        <v>0</v>
      </c>
      <c r="W745" s="109" t="n">
        <f aca="false">+V745*$H745</f>
        <v>0</v>
      </c>
      <c r="X745" s="109"/>
      <c r="Y745" s="109" t="n">
        <f aca="false">+X745*$H745</f>
        <v>0</v>
      </c>
      <c r="Z745" s="109"/>
      <c r="AA745" s="109" t="n">
        <f aca="false">+Z745*$H745</f>
        <v>0</v>
      </c>
      <c r="AB745" s="109"/>
      <c r="AC745" s="109" t="n">
        <f aca="false">+AB745*$H745</f>
        <v>0</v>
      </c>
      <c r="AD745" s="109" t="n">
        <f aca="false">+R745+V745+X745+Z745+AB745</f>
        <v>0</v>
      </c>
      <c r="AE745" s="109" t="n">
        <f aca="false">+AD745*$H745</f>
        <v>0</v>
      </c>
    </row>
    <row r="746" customFormat="false" ht="16.5" hidden="true" customHeight="true" outlineLevel="0" collapsed="false">
      <c r="A746" s="102"/>
      <c r="B746" s="117" t="s">
        <v>1181</v>
      </c>
      <c r="C746" s="111"/>
      <c r="D746" s="118" t="s">
        <v>1182</v>
      </c>
      <c r="E746" s="113" t="s">
        <v>85</v>
      </c>
      <c r="F746" s="119" t="n">
        <v>0</v>
      </c>
      <c r="G746" s="119" t="n">
        <v>0</v>
      </c>
      <c r="H746" s="115" t="n">
        <f aca="false">IFERROR(SUM($F746:$G746),"")</f>
        <v>0</v>
      </c>
      <c r="J746" s="116"/>
      <c r="K746" s="116"/>
      <c r="L746" s="116"/>
      <c r="M746" s="116"/>
      <c r="N746" s="116"/>
      <c r="O746" s="116"/>
      <c r="P746" s="116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</row>
    <row r="747" customFormat="false" ht="16.5" hidden="false" customHeight="true" outlineLevel="0" collapsed="false">
      <c r="A747" s="102"/>
      <c r="B747" s="110" t="s">
        <v>1183</v>
      </c>
      <c r="C747" s="111"/>
      <c r="D747" s="123" t="s">
        <v>1184</v>
      </c>
      <c r="E747" s="113"/>
      <c r="F747" s="119" t="n">
        <v>0</v>
      </c>
      <c r="G747" s="119" t="n">
        <v>0</v>
      </c>
      <c r="H747" s="115" t="n">
        <f aca="false">IFERROR(SUM($F747:$G747),"")</f>
        <v>0</v>
      </c>
      <c r="J747" s="116"/>
      <c r="K747" s="116"/>
      <c r="L747" s="116"/>
      <c r="M747" s="116"/>
      <c r="N747" s="116"/>
      <c r="O747" s="116"/>
      <c r="P747" s="116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</row>
    <row r="748" customFormat="false" ht="16.5" hidden="false" customHeight="true" outlineLevel="0" collapsed="false">
      <c r="A748" s="102"/>
      <c r="B748" s="117" t="s">
        <v>1185</v>
      </c>
      <c r="C748" s="111"/>
      <c r="D748" s="118" t="s">
        <v>1186</v>
      </c>
      <c r="E748" s="113" t="s">
        <v>85</v>
      </c>
      <c r="F748" s="119" t="n">
        <v>7</v>
      </c>
      <c r="G748" s="119" t="n">
        <v>0</v>
      </c>
      <c r="H748" s="115" t="n">
        <f aca="false">IFERROR(SUM($F748:$G748),"")</f>
        <v>7</v>
      </c>
      <c r="J748" s="120" t="n">
        <v>2.4</v>
      </c>
      <c r="K748" s="121" t="n">
        <f aca="false">+$H748*J748</f>
        <v>16.8</v>
      </c>
      <c r="L748" s="122" t="n">
        <v>12</v>
      </c>
      <c r="M748" s="122" t="n">
        <v>65</v>
      </c>
      <c r="N748" s="121" t="n">
        <f aca="false">+$H748*L748</f>
        <v>84</v>
      </c>
      <c r="O748" s="121" t="n">
        <f aca="false">+$H748*M748</f>
        <v>455</v>
      </c>
      <c r="P748" s="121" t="n">
        <f aca="false">+SUM(N748:O748)</f>
        <v>539</v>
      </c>
      <c r="R748" s="109"/>
      <c r="S748" s="109" t="n">
        <f aca="false">+R748*$H748</f>
        <v>0</v>
      </c>
      <c r="T748" s="109"/>
      <c r="U748" s="109" t="n">
        <f aca="false">+T748*$H748</f>
        <v>0</v>
      </c>
      <c r="V748" s="109" t="n">
        <f aca="false">+T748*$V$11</f>
        <v>0</v>
      </c>
      <c r="W748" s="109" t="n">
        <f aca="false">+V748*$H748</f>
        <v>0</v>
      </c>
      <c r="X748" s="109"/>
      <c r="Y748" s="109" t="n">
        <f aca="false">+X748*$H748</f>
        <v>0</v>
      </c>
      <c r="Z748" s="109"/>
      <c r="AA748" s="109" t="n">
        <f aca="false">+Z748*$H748</f>
        <v>0</v>
      </c>
      <c r="AB748" s="109"/>
      <c r="AC748" s="109" t="n">
        <f aca="false">+AB748*$H748</f>
        <v>0</v>
      </c>
      <c r="AD748" s="109" t="n">
        <f aca="false">+R748+V748+X748+Z748+AB748</f>
        <v>0</v>
      </c>
      <c r="AE748" s="109" t="n">
        <f aca="false">+AD748*$H748</f>
        <v>0</v>
      </c>
    </row>
    <row r="749" customFormat="false" ht="16.5" hidden="true" customHeight="true" outlineLevel="0" collapsed="false">
      <c r="A749" s="102"/>
      <c r="B749" s="117" t="s">
        <v>1187</v>
      </c>
      <c r="C749" s="111"/>
      <c r="D749" s="118" t="s">
        <v>1188</v>
      </c>
      <c r="E749" s="113" t="s">
        <v>85</v>
      </c>
      <c r="F749" s="119" t="n">
        <v>0</v>
      </c>
      <c r="G749" s="119" t="n">
        <v>0</v>
      </c>
      <c r="H749" s="115" t="n">
        <f aca="false">IFERROR(SUM($F749:$G749),"")</f>
        <v>0</v>
      </c>
      <c r="J749" s="116"/>
      <c r="K749" s="116"/>
      <c r="L749" s="116"/>
      <c r="M749" s="116"/>
      <c r="N749" s="116"/>
      <c r="O749" s="116"/>
      <c r="P749" s="116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</row>
    <row r="750" customFormat="false" ht="16.5" hidden="false" customHeight="true" outlineLevel="0" collapsed="false">
      <c r="A750" s="102"/>
      <c r="B750" s="110" t="s">
        <v>1189</v>
      </c>
      <c r="C750" s="111"/>
      <c r="D750" s="123" t="s">
        <v>1190</v>
      </c>
      <c r="E750" s="113"/>
      <c r="F750" s="119" t="n">
        <v>0</v>
      </c>
      <c r="G750" s="119" t="n">
        <v>0</v>
      </c>
      <c r="H750" s="115" t="n">
        <f aca="false">IFERROR(SUM($F750:$G750),"")</f>
        <v>0</v>
      </c>
      <c r="J750" s="116"/>
      <c r="K750" s="116"/>
      <c r="L750" s="116"/>
      <c r="M750" s="116"/>
      <c r="N750" s="116"/>
      <c r="O750" s="116"/>
      <c r="P750" s="116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</row>
    <row r="751" customFormat="false" ht="16.5" hidden="true" customHeight="true" outlineLevel="0" collapsed="false">
      <c r="A751" s="102"/>
      <c r="B751" s="117" t="s">
        <v>1191</v>
      </c>
      <c r="C751" s="111"/>
      <c r="D751" s="118" t="s">
        <v>996</v>
      </c>
      <c r="E751" s="113" t="s">
        <v>85</v>
      </c>
      <c r="F751" s="119" t="n">
        <v>0</v>
      </c>
      <c r="G751" s="119" t="n">
        <v>0</v>
      </c>
      <c r="H751" s="115" t="n">
        <f aca="false">IFERROR(SUM($F751:$G751),"")</f>
        <v>0</v>
      </c>
      <c r="J751" s="116"/>
      <c r="K751" s="116"/>
      <c r="L751" s="116"/>
      <c r="M751" s="116"/>
      <c r="N751" s="116"/>
      <c r="O751" s="116"/>
      <c r="P751" s="116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</row>
    <row r="752" customFormat="false" ht="16.5" hidden="false" customHeight="true" outlineLevel="0" collapsed="false">
      <c r="A752" s="102"/>
      <c r="B752" s="117" t="s">
        <v>1192</v>
      </c>
      <c r="C752" s="111"/>
      <c r="D752" s="118" t="s">
        <v>998</v>
      </c>
      <c r="E752" s="113" t="s">
        <v>85</v>
      </c>
      <c r="F752" s="119" t="n">
        <v>3</v>
      </c>
      <c r="G752" s="119" t="n">
        <v>0</v>
      </c>
      <c r="H752" s="115" t="n">
        <f aca="false">IFERROR(SUM($F752:$G752),"")</f>
        <v>3</v>
      </c>
      <c r="J752" s="120" t="n">
        <v>1.2</v>
      </c>
      <c r="K752" s="121" t="n">
        <f aca="false">+$H752*J752</f>
        <v>3.6</v>
      </c>
      <c r="L752" s="122" t="n">
        <v>6</v>
      </c>
      <c r="M752" s="122" t="n">
        <v>45</v>
      </c>
      <c r="N752" s="121" t="n">
        <f aca="false">+$H752*L752</f>
        <v>18</v>
      </c>
      <c r="O752" s="121" t="n">
        <f aca="false">+$H752*M752</f>
        <v>135</v>
      </c>
      <c r="P752" s="121" t="n">
        <f aca="false">+SUM(N752:O752)</f>
        <v>153</v>
      </c>
      <c r="R752" s="109"/>
      <c r="S752" s="109" t="n">
        <f aca="false">+R752*$H752</f>
        <v>0</v>
      </c>
      <c r="T752" s="109"/>
      <c r="U752" s="109" t="n">
        <f aca="false">+T752*$H752</f>
        <v>0</v>
      </c>
      <c r="V752" s="109" t="n">
        <f aca="false">+T752*$V$11</f>
        <v>0</v>
      </c>
      <c r="W752" s="109" t="n">
        <f aca="false">+V752*$H752</f>
        <v>0</v>
      </c>
      <c r="X752" s="109"/>
      <c r="Y752" s="109" t="n">
        <f aca="false">+X752*$H752</f>
        <v>0</v>
      </c>
      <c r="Z752" s="109"/>
      <c r="AA752" s="109" t="n">
        <f aca="false">+Z752*$H752</f>
        <v>0</v>
      </c>
      <c r="AB752" s="109"/>
      <c r="AC752" s="109" t="n">
        <f aca="false">+AB752*$H752</f>
        <v>0</v>
      </c>
      <c r="AD752" s="109" t="n">
        <f aca="false">+R752+V752+X752+Z752+AB752</f>
        <v>0</v>
      </c>
      <c r="AE752" s="109" t="n">
        <f aca="false">+AD752*$H752</f>
        <v>0</v>
      </c>
    </row>
    <row r="753" customFormat="false" ht="16.5" hidden="true" customHeight="true" outlineLevel="0" collapsed="false">
      <c r="A753" s="102"/>
      <c r="B753" s="117" t="s">
        <v>1193</v>
      </c>
      <c r="C753" s="111"/>
      <c r="D753" s="118" t="s">
        <v>1000</v>
      </c>
      <c r="E753" s="113" t="s">
        <v>85</v>
      </c>
      <c r="F753" s="119" t="n">
        <v>0</v>
      </c>
      <c r="G753" s="119" t="n">
        <v>0</v>
      </c>
      <c r="H753" s="115" t="n">
        <f aca="false">IFERROR(SUM($F753:$G753),"")</f>
        <v>0</v>
      </c>
      <c r="J753" s="116"/>
      <c r="K753" s="116"/>
      <c r="L753" s="116"/>
      <c r="M753" s="116"/>
      <c r="N753" s="116"/>
      <c r="O753" s="116"/>
      <c r="P753" s="116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</row>
    <row r="754" customFormat="false" ht="16.5" hidden="false" customHeight="true" outlineLevel="0" collapsed="false">
      <c r="A754" s="102"/>
      <c r="B754" s="110" t="s">
        <v>1194</v>
      </c>
      <c r="C754" s="111"/>
      <c r="D754" s="123" t="s">
        <v>1195</v>
      </c>
      <c r="E754" s="113"/>
      <c r="F754" s="119" t="n">
        <v>0</v>
      </c>
      <c r="G754" s="119" t="n">
        <v>0</v>
      </c>
      <c r="H754" s="115" t="n">
        <f aca="false">IFERROR(SUM($F754:$G754),"")</f>
        <v>0</v>
      </c>
      <c r="J754" s="116"/>
      <c r="K754" s="116"/>
      <c r="L754" s="116"/>
      <c r="M754" s="116"/>
      <c r="N754" s="116"/>
      <c r="O754" s="116"/>
      <c r="P754" s="116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</row>
    <row r="755" customFormat="false" ht="16.5" hidden="false" customHeight="true" outlineLevel="0" collapsed="false">
      <c r="A755" s="102"/>
      <c r="B755" s="117" t="s">
        <v>1196</v>
      </c>
      <c r="C755" s="111"/>
      <c r="D755" s="118" t="s">
        <v>1197</v>
      </c>
      <c r="E755" s="113" t="s">
        <v>75</v>
      </c>
      <c r="F755" s="119" t="n">
        <v>1150</v>
      </c>
      <c r="G755" s="119" t="n">
        <v>0</v>
      </c>
      <c r="H755" s="115" t="n">
        <f aca="false">IFERROR(SUM($F755:$G755),"")</f>
        <v>1150</v>
      </c>
      <c r="J755" s="120" t="n">
        <v>0.08</v>
      </c>
      <c r="K755" s="121" t="n">
        <f aca="false">+$H755*J755</f>
        <v>92</v>
      </c>
      <c r="L755" s="122" t="n">
        <v>0.4</v>
      </c>
      <c r="M755" s="122" t="n">
        <v>3.26</v>
      </c>
      <c r="N755" s="121" t="n">
        <f aca="false">+$H755*L755</f>
        <v>460</v>
      </c>
      <c r="O755" s="121" t="n">
        <f aca="false">+$H755*M755</f>
        <v>3749</v>
      </c>
      <c r="P755" s="121" t="n">
        <f aca="false">+SUM(N755:O755)</f>
        <v>4209</v>
      </c>
      <c r="R755" s="109"/>
      <c r="S755" s="109" t="n">
        <f aca="false">+R755*$H755</f>
        <v>0</v>
      </c>
      <c r="T755" s="109"/>
      <c r="U755" s="109" t="n">
        <f aca="false">+T755*$H755</f>
        <v>0</v>
      </c>
      <c r="V755" s="109" t="n">
        <f aca="false">+T755*$V$11</f>
        <v>0</v>
      </c>
      <c r="W755" s="109" t="n">
        <f aca="false">+V755*$H755</f>
        <v>0</v>
      </c>
      <c r="X755" s="109"/>
      <c r="Y755" s="109" t="n">
        <f aca="false">+X755*$H755</f>
        <v>0</v>
      </c>
      <c r="Z755" s="109"/>
      <c r="AA755" s="109" t="n">
        <f aca="false">+Z755*$H755</f>
        <v>0</v>
      </c>
      <c r="AB755" s="109"/>
      <c r="AC755" s="109" t="n">
        <f aca="false">+AB755*$H755</f>
        <v>0</v>
      </c>
      <c r="AD755" s="109" t="n">
        <f aca="false">+R755+V755+X755+Z755+AB755</f>
        <v>0</v>
      </c>
      <c r="AE755" s="109" t="n">
        <f aca="false">+AD755*$H755</f>
        <v>0</v>
      </c>
    </row>
    <row r="756" customFormat="false" ht="16.5" hidden="false" customHeight="true" outlineLevel="0" collapsed="false">
      <c r="A756" s="102"/>
      <c r="B756" s="117" t="s">
        <v>1198</v>
      </c>
      <c r="C756" s="111"/>
      <c r="D756" s="118" t="s">
        <v>74</v>
      </c>
      <c r="E756" s="113" t="s">
        <v>75</v>
      </c>
      <c r="F756" s="119" t="n">
        <v>575</v>
      </c>
      <c r="G756" s="119" t="n">
        <v>0</v>
      </c>
      <c r="H756" s="115" t="n">
        <f aca="false">IFERROR(SUM($F756:$G756),"")</f>
        <v>575</v>
      </c>
      <c r="J756" s="120" t="n">
        <v>0.1</v>
      </c>
      <c r="K756" s="121" t="n">
        <f aca="false">+$H756*J756</f>
        <v>57.5</v>
      </c>
      <c r="L756" s="122" t="n">
        <v>0.5</v>
      </c>
      <c r="M756" s="122" t="n">
        <v>5.67</v>
      </c>
      <c r="N756" s="121" t="n">
        <f aca="false">+$H756*L756</f>
        <v>287.5</v>
      </c>
      <c r="O756" s="121" t="n">
        <f aca="false">+$H756*M756</f>
        <v>3260.25</v>
      </c>
      <c r="P756" s="121" t="n">
        <f aca="false">+SUM(N756:O756)</f>
        <v>3547.75</v>
      </c>
      <c r="R756" s="109"/>
      <c r="S756" s="109" t="n">
        <f aca="false">+R756*$H756</f>
        <v>0</v>
      </c>
      <c r="T756" s="109"/>
      <c r="U756" s="109" t="n">
        <f aca="false">+T756*$H756</f>
        <v>0</v>
      </c>
      <c r="V756" s="109" t="n">
        <f aca="false">+T756*$V$11</f>
        <v>0</v>
      </c>
      <c r="W756" s="109" t="n">
        <f aca="false">+V756*$H756</f>
        <v>0</v>
      </c>
      <c r="X756" s="109"/>
      <c r="Y756" s="109" t="n">
        <f aca="false">+X756*$H756</f>
        <v>0</v>
      </c>
      <c r="Z756" s="109"/>
      <c r="AA756" s="109" t="n">
        <f aca="false">+Z756*$H756</f>
        <v>0</v>
      </c>
      <c r="AB756" s="109"/>
      <c r="AC756" s="109" t="n">
        <f aca="false">+AB756*$H756</f>
        <v>0</v>
      </c>
      <c r="AD756" s="109" t="n">
        <f aca="false">+R756+V756+X756+Z756+AB756</f>
        <v>0</v>
      </c>
      <c r="AE756" s="109" t="n">
        <f aca="false">+AD756*$H756</f>
        <v>0</v>
      </c>
    </row>
    <row r="757" customFormat="false" ht="16.5" hidden="false" customHeight="true" outlineLevel="0" collapsed="false">
      <c r="A757" s="102"/>
      <c r="B757" s="117"/>
      <c r="C757" s="111"/>
      <c r="D757" s="118"/>
      <c r="E757" s="113"/>
      <c r="F757" s="119" t="n">
        <v>0</v>
      </c>
      <c r="G757" s="119" t="n">
        <v>0</v>
      </c>
      <c r="H757" s="115" t="n">
        <f aca="false">IFERROR(SUM($F757:$G757),"")</f>
        <v>0</v>
      </c>
      <c r="J757" s="116"/>
      <c r="K757" s="116"/>
      <c r="L757" s="116"/>
      <c r="M757" s="116"/>
      <c r="N757" s="116"/>
      <c r="O757" s="116"/>
      <c r="P757" s="116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</row>
    <row r="758" customFormat="false" ht="16.5" hidden="false" customHeight="true" outlineLevel="0" collapsed="false">
      <c r="A758" s="102"/>
      <c r="B758" s="124"/>
      <c r="C758" s="125"/>
      <c r="D758" s="148"/>
      <c r="E758" s="127"/>
      <c r="F758" s="119" t="n">
        <v>0</v>
      </c>
      <c r="G758" s="119" t="n">
        <v>0</v>
      </c>
      <c r="H758" s="115" t="n">
        <f aca="false">IFERROR(SUM($F758:$G758),"")</f>
        <v>0</v>
      </c>
      <c r="J758" s="116"/>
      <c r="K758" s="116"/>
      <c r="L758" s="116"/>
      <c r="M758" s="116"/>
      <c r="N758" s="116"/>
      <c r="O758" s="116"/>
      <c r="P758" s="116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</row>
    <row r="759" customFormat="false" ht="16.5" hidden="false" customHeight="true" outlineLevel="0" collapsed="false">
      <c r="A759" s="102"/>
      <c r="B759" s="128"/>
      <c r="C759" s="128"/>
      <c r="D759" s="128"/>
      <c r="E759" s="232"/>
      <c r="F759" s="130" t="n">
        <v>0</v>
      </c>
      <c r="G759" s="130" t="n">
        <v>0</v>
      </c>
      <c r="H759" s="131" t="n">
        <f aca="false">IFERROR(SUM($F759:$G759),"")</f>
        <v>0</v>
      </c>
      <c r="J759" s="116"/>
      <c r="K759" s="116"/>
      <c r="L759" s="116"/>
      <c r="M759" s="116"/>
      <c r="N759" s="116"/>
      <c r="O759" s="116"/>
      <c r="P759" s="116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</row>
    <row r="760" customFormat="false" ht="16.5" hidden="false" customHeight="true" outlineLevel="0" collapsed="false">
      <c r="A760" s="102"/>
      <c r="B760" s="132"/>
      <c r="C760" s="104"/>
      <c r="D760" s="133"/>
      <c r="E760" s="234"/>
      <c r="F760" s="135" t="n">
        <v>0</v>
      </c>
      <c r="G760" s="135" t="n">
        <v>0</v>
      </c>
      <c r="H760" s="136" t="n">
        <f aca="false">IFERROR(SUM($F760:$G760),"")</f>
        <v>0</v>
      </c>
      <c r="J760" s="116"/>
      <c r="K760" s="116"/>
      <c r="L760" s="116"/>
      <c r="M760" s="116"/>
      <c r="N760" s="116"/>
      <c r="O760" s="116"/>
      <c r="P760" s="116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</row>
    <row r="761" customFormat="false" ht="16.5" hidden="false" customHeight="true" outlineLevel="0" collapsed="false">
      <c r="A761" s="102"/>
      <c r="B761" s="137"/>
      <c r="C761" s="137"/>
      <c r="D761" s="137"/>
      <c r="E761" s="235"/>
      <c r="F761" s="139" t="n">
        <v>0</v>
      </c>
      <c r="G761" s="139" t="n">
        <v>0</v>
      </c>
      <c r="H761" s="140" t="n">
        <f aca="false">IFERROR(SUM($F761:$G761),"")</f>
        <v>0</v>
      </c>
      <c r="J761" s="116"/>
      <c r="K761" s="116"/>
      <c r="L761" s="116"/>
      <c r="M761" s="116"/>
      <c r="N761" s="116"/>
      <c r="O761" s="116"/>
      <c r="P761" s="116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</row>
    <row r="762" customFormat="false" ht="16.5" hidden="false" customHeight="true" outlineLevel="0" collapsed="false">
      <c r="A762" s="102"/>
      <c r="B762" s="124"/>
      <c r="C762" s="141"/>
      <c r="D762" s="141"/>
      <c r="E762" s="127"/>
      <c r="F762" s="142" t="n">
        <v>0</v>
      </c>
      <c r="G762" s="142" t="n">
        <v>0</v>
      </c>
      <c r="H762" s="143" t="n">
        <f aca="false">IFERROR(SUM($F762:$G762),"")</f>
        <v>0</v>
      </c>
      <c r="J762" s="116"/>
      <c r="K762" s="116"/>
      <c r="L762" s="116"/>
      <c r="M762" s="116"/>
      <c r="N762" s="116"/>
      <c r="O762" s="116"/>
      <c r="P762" s="116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</row>
    <row r="763" customFormat="false" ht="16.5" hidden="false" customHeight="true" outlineLevel="0" collapsed="false">
      <c r="A763" s="102"/>
      <c r="B763" s="103" t="s">
        <v>1199</v>
      </c>
      <c r="C763" s="104"/>
      <c r="D763" s="104"/>
      <c r="E763" s="127"/>
      <c r="F763" s="142" t="n">
        <v>0</v>
      </c>
      <c r="G763" s="142" t="n">
        <v>0</v>
      </c>
      <c r="H763" s="143" t="n">
        <f aca="false">IFERROR(SUM($F763:$G763),"")</f>
        <v>0</v>
      </c>
      <c r="J763" s="116"/>
      <c r="K763" s="116"/>
      <c r="L763" s="116"/>
      <c r="M763" s="116"/>
      <c r="N763" s="116"/>
      <c r="O763" s="116"/>
      <c r="P763" s="116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</row>
    <row r="764" customFormat="false" ht="16.5" hidden="false" customHeight="true" outlineLevel="0" collapsed="false">
      <c r="A764" s="102"/>
      <c r="B764" s="144"/>
      <c r="C764" s="145"/>
      <c r="D764" s="146"/>
      <c r="E764" s="127"/>
      <c r="F764" s="142" t="n">
        <v>0</v>
      </c>
      <c r="G764" s="142" t="n">
        <v>0</v>
      </c>
      <c r="H764" s="143" t="n">
        <f aca="false">IFERROR(SUM($F764:$G764),"")</f>
        <v>0</v>
      </c>
      <c r="J764" s="116"/>
      <c r="K764" s="116"/>
      <c r="L764" s="116"/>
      <c r="M764" s="116"/>
      <c r="N764" s="116"/>
      <c r="O764" s="116"/>
      <c r="P764" s="116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</row>
    <row r="765" customFormat="false" ht="16.5" hidden="false" customHeight="true" outlineLevel="0" collapsed="false">
      <c r="A765" s="102"/>
      <c r="B765" s="124"/>
      <c r="C765" s="125"/>
      <c r="D765" s="148"/>
      <c r="E765" s="127"/>
      <c r="F765" s="130" t="n">
        <v>0</v>
      </c>
      <c r="G765" s="245" t="n">
        <v>0</v>
      </c>
      <c r="H765" s="131" t="n">
        <f aca="false">IFERROR(SUM($F765:$G765),"")</f>
        <v>0</v>
      </c>
      <c r="J765" s="116"/>
      <c r="K765" s="116"/>
      <c r="L765" s="116"/>
      <c r="M765" s="116"/>
      <c r="N765" s="116"/>
      <c r="O765" s="116"/>
      <c r="P765" s="116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</row>
    <row r="766" customFormat="false" ht="16.5" hidden="false" customHeight="true" outlineLevel="0" collapsed="false">
      <c r="A766" s="102"/>
      <c r="B766" s="110" t="s">
        <v>1200</v>
      </c>
      <c r="C766" s="111"/>
      <c r="D766" s="123" t="s">
        <v>1066</v>
      </c>
      <c r="E766" s="113"/>
      <c r="F766" s="119" t="n">
        <v>0</v>
      </c>
      <c r="G766" s="119" t="n">
        <v>0</v>
      </c>
      <c r="H766" s="115" t="n">
        <f aca="false">IFERROR(SUM($F766:$G766),"")</f>
        <v>0</v>
      </c>
      <c r="J766" s="116"/>
      <c r="K766" s="116"/>
      <c r="L766" s="116"/>
      <c r="M766" s="116"/>
      <c r="N766" s="116"/>
      <c r="O766" s="116"/>
      <c r="P766" s="116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</row>
    <row r="767" customFormat="false" ht="16.5" hidden="true" customHeight="true" outlineLevel="0" collapsed="false">
      <c r="A767" s="102"/>
      <c r="B767" s="117" t="s">
        <v>1201</v>
      </c>
      <c r="C767" s="111"/>
      <c r="D767" s="118" t="s">
        <v>1068</v>
      </c>
      <c r="E767" s="113" t="s">
        <v>85</v>
      </c>
      <c r="F767" s="119" t="n">
        <v>0</v>
      </c>
      <c r="G767" s="119" t="n">
        <v>0</v>
      </c>
      <c r="H767" s="115" t="n">
        <f aca="false">IFERROR(SUM($F767:$G767),"")</f>
        <v>0</v>
      </c>
      <c r="J767" s="116"/>
      <c r="K767" s="116"/>
      <c r="L767" s="116"/>
      <c r="M767" s="116"/>
      <c r="N767" s="116"/>
      <c r="O767" s="116"/>
      <c r="P767" s="116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</row>
    <row r="768" customFormat="false" ht="16.5" hidden="false" customHeight="true" outlineLevel="0" collapsed="false">
      <c r="A768" s="102"/>
      <c r="B768" s="117" t="s">
        <v>1202</v>
      </c>
      <c r="C768" s="111"/>
      <c r="D768" s="118" t="s">
        <v>1070</v>
      </c>
      <c r="E768" s="113" t="s">
        <v>85</v>
      </c>
      <c r="F768" s="119" t="n">
        <v>10</v>
      </c>
      <c r="G768" s="119" t="n">
        <v>0</v>
      </c>
      <c r="H768" s="115" t="n">
        <f aca="false">IFERROR(SUM($F768:$G768),"")</f>
        <v>10</v>
      </c>
      <c r="J768" s="120" t="n">
        <v>13</v>
      </c>
      <c r="K768" s="121" t="n">
        <f aca="false">+$H768*J768</f>
        <v>130</v>
      </c>
      <c r="L768" s="122" t="n">
        <v>65</v>
      </c>
      <c r="M768" s="122" t="n">
        <v>600</v>
      </c>
      <c r="N768" s="121" t="n">
        <f aca="false">+$H768*L768</f>
        <v>650</v>
      </c>
      <c r="O768" s="121" t="n">
        <f aca="false">+$H768*M768</f>
        <v>6000</v>
      </c>
      <c r="P768" s="121" t="n">
        <f aca="false">+SUM(N768:O768)</f>
        <v>6650</v>
      </c>
      <c r="R768" s="109"/>
      <c r="S768" s="109" t="n">
        <f aca="false">+R768*$H768</f>
        <v>0</v>
      </c>
      <c r="T768" s="109"/>
      <c r="U768" s="109" t="n">
        <f aca="false">+T768*$H768</f>
        <v>0</v>
      </c>
      <c r="V768" s="109" t="n">
        <f aca="false">+T768*$V$11</f>
        <v>0</v>
      </c>
      <c r="W768" s="109" t="n">
        <f aca="false">+V768*$H768</f>
        <v>0</v>
      </c>
      <c r="X768" s="109"/>
      <c r="Y768" s="109" t="n">
        <f aca="false">+X768*$H768</f>
        <v>0</v>
      </c>
      <c r="Z768" s="109"/>
      <c r="AA768" s="109" t="n">
        <f aca="false">+Z768*$H768</f>
        <v>0</v>
      </c>
      <c r="AB768" s="109"/>
      <c r="AC768" s="109" t="n">
        <f aca="false">+AB768*$H768</f>
        <v>0</v>
      </c>
      <c r="AD768" s="109" t="n">
        <f aca="false">+R768+V768+X768+Z768+AB768</f>
        <v>0</v>
      </c>
      <c r="AE768" s="109" t="n">
        <f aca="false">+AD768*$H768</f>
        <v>0</v>
      </c>
    </row>
    <row r="769" customFormat="false" ht="16.5" hidden="false" customHeight="true" outlineLevel="0" collapsed="false">
      <c r="A769" s="102"/>
      <c r="B769" s="117" t="s">
        <v>1203</v>
      </c>
      <c r="C769" s="111"/>
      <c r="D769" s="118" t="s">
        <v>1072</v>
      </c>
      <c r="E769" s="113" t="s">
        <v>85</v>
      </c>
      <c r="F769" s="119" t="n">
        <v>7</v>
      </c>
      <c r="G769" s="119" t="n">
        <v>0</v>
      </c>
      <c r="H769" s="115" t="n">
        <f aca="false">IFERROR(SUM($F769:$G769),"")</f>
        <v>7</v>
      </c>
      <c r="J769" s="120" t="n">
        <v>16</v>
      </c>
      <c r="K769" s="121" t="n">
        <f aca="false">+$H769*J769</f>
        <v>112</v>
      </c>
      <c r="L769" s="122" t="n">
        <v>80</v>
      </c>
      <c r="M769" s="122" t="n">
        <v>850</v>
      </c>
      <c r="N769" s="121" t="n">
        <f aca="false">+$H769*L769</f>
        <v>560</v>
      </c>
      <c r="O769" s="121" t="n">
        <f aca="false">+$H769*M769</f>
        <v>5950</v>
      </c>
      <c r="P769" s="121" t="n">
        <f aca="false">+SUM(N769:O769)</f>
        <v>6510</v>
      </c>
      <c r="R769" s="109"/>
      <c r="S769" s="109" t="n">
        <f aca="false">+R769*$H769</f>
        <v>0</v>
      </c>
      <c r="T769" s="109"/>
      <c r="U769" s="109" t="n">
        <f aca="false">+T769*$H769</f>
        <v>0</v>
      </c>
      <c r="V769" s="109" t="n">
        <f aca="false">+T769*$V$11</f>
        <v>0</v>
      </c>
      <c r="W769" s="109" t="n">
        <f aca="false">+V769*$H769</f>
        <v>0</v>
      </c>
      <c r="X769" s="109"/>
      <c r="Y769" s="109" t="n">
        <f aca="false">+X769*$H769</f>
        <v>0</v>
      </c>
      <c r="Z769" s="109"/>
      <c r="AA769" s="109" t="n">
        <f aca="false">+Z769*$H769</f>
        <v>0</v>
      </c>
      <c r="AB769" s="109"/>
      <c r="AC769" s="109" t="n">
        <f aca="false">+AB769*$H769</f>
        <v>0</v>
      </c>
      <c r="AD769" s="109" t="n">
        <f aca="false">+R769+V769+X769+Z769+AB769</f>
        <v>0</v>
      </c>
      <c r="AE769" s="109" t="n">
        <f aca="false">+AD769*$H769</f>
        <v>0</v>
      </c>
    </row>
    <row r="770" customFormat="false" ht="16.5" hidden="true" customHeight="true" outlineLevel="0" collapsed="false">
      <c r="A770" s="102"/>
      <c r="B770" s="117" t="s">
        <v>1204</v>
      </c>
      <c r="C770" s="111"/>
      <c r="D770" s="118" t="s">
        <v>1074</v>
      </c>
      <c r="E770" s="113" t="s">
        <v>85</v>
      </c>
      <c r="F770" s="119" t="n">
        <v>0</v>
      </c>
      <c r="G770" s="119" t="n">
        <v>0</v>
      </c>
      <c r="H770" s="115" t="n">
        <f aca="false">IFERROR(SUM($F770:$G770),"")</f>
        <v>0</v>
      </c>
      <c r="J770" s="116"/>
      <c r="K770" s="116"/>
      <c r="L770" s="116"/>
      <c r="M770" s="116"/>
      <c r="N770" s="116"/>
      <c r="O770" s="116"/>
      <c r="P770" s="116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</row>
    <row r="771" customFormat="false" ht="16.5" hidden="true" customHeight="true" outlineLevel="0" collapsed="false">
      <c r="A771" s="102"/>
      <c r="B771" s="117" t="s">
        <v>1205</v>
      </c>
      <c r="C771" s="111"/>
      <c r="D771" s="118" t="s">
        <v>1076</v>
      </c>
      <c r="E771" s="113" t="s">
        <v>85</v>
      </c>
      <c r="F771" s="119" t="n">
        <v>0</v>
      </c>
      <c r="G771" s="119" t="n">
        <v>0</v>
      </c>
      <c r="H771" s="115" t="n">
        <f aca="false">IFERROR(SUM($F771:$G771),"")</f>
        <v>0</v>
      </c>
      <c r="J771" s="116"/>
      <c r="K771" s="116"/>
      <c r="L771" s="116"/>
      <c r="M771" s="116"/>
      <c r="N771" s="116"/>
      <c r="O771" s="116"/>
      <c r="P771" s="116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</row>
    <row r="772" customFormat="false" ht="16.5" hidden="true" customHeight="true" outlineLevel="0" collapsed="false">
      <c r="A772" s="102"/>
      <c r="B772" s="117" t="s">
        <v>1206</v>
      </c>
      <c r="C772" s="111"/>
      <c r="D772" s="118" t="s">
        <v>1078</v>
      </c>
      <c r="E772" s="113" t="s">
        <v>85</v>
      </c>
      <c r="F772" s="119" t="n">
        <v>0</v>
      </c>
      <c r="G772" s="119" t="n">
        <v>0</v>
      </c>
      <c r="H772" s="115" t="n">
        <f aca="false">IFERROR(SUM($F772:$G772),"")</f>
        <v>0</v>
      </c>
      <c r="J772" s="116"/>
      <c r="K772" s="116"/>
      <c r="L772" s="116"/>
      <c r="M772" s="116"/>
      <c r="N772" s="116"/>
      <c r="O772" s="116"/>
      <c r="P772" s="116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</row>
    <row r="773" customFormat="false" ht="16.5" hidden="true" customHeight="true" outlineLevel="0" collapsed="false">
      <c r="A773" s="102"/>
      <c r="B773" s="117" t="s">
        <v>1207</v>
      </c>
      <c r="C773" s="111"/>
      <c r="D773" s="118" t="s">
        <v>1080</v>
      </c>
      <c r="E773" s="113" t="s">
        <v>85</v>
      </c>
      <c r="F773" s="119" t="n">
        <v>0</v>
      </c>
      <c r="G773" s="119" t="n">
        <v>0</v>
      </c>
      <c r="H773" s="115" t="n">
        <f aca="false">IFERROR(SUM($F773:$G773),"")</f>
        <v>0</v>
      </c>
      <c r="J773" s="116"/>
      <c r="K773" s="116"/>
      <c r="L773" s="116"/>
      <c r="M773" s="116"/>
      <c r="N773" s="116"/>
      <c r="O773" s="116"/>
      <c r="P773" s="116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</row>
    <row r="774" customFormat="false" ht="16.5" hidden="true" customHeight="true" outlineLevel="0" collapsed="false">
      <c r="A774" s="102"/>
      <c r="B774" s="117" t="s">
        <v>1208</v>
      </c>
      <c r="C774" s="111"/>
      <c r="D774" s="118" t="s">
        <v>1082</v>
      </c>
      <c r="E774" s="113" t="s">
        <v>85</v>
      </c>
      <c r="F774" s="119" t="n">
        <v>0</v>
      </c>
      <c r="G774" s="119" t="n">
        <v>0</v>
      </c>
      <c r="H774" s="115" t="n">
        <f aca="false">IFERROR(SUM($F774:$G774),"")</f>
        <v>0</v>
      </c>
      <c r="J774" s="116"/>
      <c r="K774" s="116"/>
      <c r="L774" s="116"/>
      <c r="M774" s="116"/>
      <c r="N774" s="116"/>
      <c r="O774" s="116"/>
      <c r="P774" s="116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</row>
    <row r="775" customFormat="false" ht="16.5" hidden="true" customHeight="true" outlineLevel="0" collapsed="false">
      <c r="A775" s="102"/>
      <c r="B775" s="117" t="s">
        <v>1209</v>
      </c>
      <c r="C775" s="111"/>
      <c r="D775" s="118" t="s">
        <v>1084</v>
      </c>
      <c r="E775" s="113" t="s">
        <v>85</v>
      </c>
      <c r="F775" s="119" t="n">
        <v>0</v>
      </c>
      <c r="G775" s="119" t="n">
        <v>0</v>
      </c>
      <c r="H775" s="115" t="n">
        <f aca="false">IFERROR(SUM($F775:$G775),"")</f>
        <v>0</v>
      </c>
      <c r="J775" s="116"/>
      <c r="K775" s="116"/>
      <c r="L775" s="116"/>
      <c r="M775" s="116"/>
      <c r="N775" s="116"/>
      <c r="O775" s="116"/>
      <c r="P775" s="116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</row>
    <row r="776" customFormat="false" ht="16.5" hidden="true" customHeight="true" outlineLevel="0" collapsed="false">
      <c r="A776" s="102"/>
      <c r="B776" s="117" t="s">
        <v>1210</v>
      </c>
      <c r="C776" s="111"/>
      <c r="D776" s="118" t="s">
        <v>1086</v>
      </c>
      <c r="E776" s="113" t="s">
        <v>85</v>
      </c>
      <c r="F776" s="119" t="n">
        <v>0</v>
      </c>
      <c r="G776" s="119" t="n">
        <v>0</v>
      </c>
      <c r="H776" s="115" t="n">
        <f aca="false">IFERROR(SUM($F776:$G776),"")</f>
        <v>0</v>
      </c>
      <c r="J776" s="116"/>
      <c r="K776" s="116"/>
      <c r="L776" s="116"/>
      <c r="M776" s="116"/>
      <c r="N776" s="116"/>
      <c r="O776" s="116"/>
      <c r="P776" s="116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</row>
    <row r="777" customFormat="false" ht="16.5" hidden="true" customHeight="true" outlineLevel="0" collapsed="false">
      <c r="A777" s="102"/>
      <c r="B777" s="110" t="s">
        <v>1211</v>
      </c>
      <c r="C777" s="111"/>
      <c r="D777" s="123" t="s">
        <v>1088</v>
      </c>
      <c r="E777" s="113"/>
      <c r="F777" s="119" t="n">
        <v>0</v>
      </c>
      <c r="G777" s="119" t="n">
        <v>0</v>
      </c>
      <c r="H777" s="115" t="n">
        <f aca="false">IFERROR(SUM($F777:$G777),"")</f>
        <v>0</v>
      </c>
      <c r="J777" s="116"/>
      <c r="K777" s="116"/>
      <c r="L777" s="116"/>
      <c r="M777" s="116"/>
      <c r="N777" s="116"/>
      <c r="O777" s="116"/>
      <c r="P777" s="116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</row>
    <row r="778" customFormat="false" ht="16.5" hidden="true" customHeight="true" outlineLevel="0" collapsed="false">
      <c r="A778" s="102"/>
      <c r="B778" s="117" t="s">
        <v>1212</v>
      </c>
      <c r="C778" s="111"/>
      <c r="D778" s="118" t="s">
        <v>996</v>
      </c>
      <c r="E778" s="113" t="s">
        <v>85</v>
      </c>
      <c r="F778" s="119" t="n">
        <v>0</v>
      </c>
      <c r="G778" s="119" t="n">
        <v>0</v>
      </c>
      <c r="H778" s="115" t="n">
        <f aca="false">IFERROR(SUM($F778:$G778),"")</f>
        <v>0</v>
      </c>
      <c r="J778" s="116"/>
      <c r="K778" s="116"/>
      <c r="L778" s="116"/>
      <c r="M778" s="116"/>
      <c r="N778" s="116"/>
      <c r="O778" s="116"/>
      <c r="P778" s="116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</row>
    <row r="779" customFormat="false" ht="16.5" hidden="true" customHeight="true" outlineLevel="0" collapsed="false">
      <c r="A779" s="102"/>
      <c r="B779" s="117" t="s">
        <v>1213</v>
      </c>
      <c r="C779" s="111"/>
      <c r="D779" s="118" t="s">
        <v>998</v>
      </c>
      <c r="E779" s="113" t="s">
        <v>85</v>
      </c>
      <c r="F779" s="119" t="n">
        <v>0</v>
      </c>
      <c r="G779" s="119" t="n">
        <v>0</v>
      </c>
      <c r="H779" s="115" t="n">
        <f aca="false">IFERROR(SUM($F779:$G779),"")</f>
        <v>0</v>
      </c>
      <c r="J779" s="116"/>
      <c r="K779" s="116"/>
      <c r="L779" s="116"/>
      <c r="M779" s="116"/>
      <c r="N779" s="116"/>
      <c r="O779" s="116"/>
      <c r="P779" s="116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</row>
    <row r="780" customFormat="false" ht="16.5" hidden="true" customHeight="true" outlineLevel="0" collapsed="false">
      <c r="A780" s="102"/>
      <c r="B780" s="117" t="s">
        <v>1214</v>
      </c>
      <c r="C780" s="111"/>
      <c r="D780" s="118" t="s">
        <v>1000</v>
      </c>
      <c r="E780" s="113" t="s">
        <v>85</v>
      </c>
      <c r="F780" s="119" t="n">
        <v>0</v>
      </c>
      <c r="G780" s="119" t="n">
        <v>0</v>
      </c>
      <c r="H780" s="115" t="n">
        <f aca="false">IFERROR(SUM($F780:$G780),"")</f>
        <v>0</v>
      </c>
      <c r="J780" s="116"/>
      <c r="K780" s="116"/>
      <c r="L780" s="116"/>
      <c r="M780" s="116"/>
      <c r="N780" s="116"/>
      <c r="O780" s="116"/>
      <c r="P780" s="116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</row>
    <row r="781" customFormat="false" ht="16.5" hidden="false" customHeight="true" outlineLevel="0" collapsed="false">
      <c r="A781" s="102"/>
      <c r="B781" s="110" t="s">
        <v>1215</v>
      </c>
      <c r="C781" s="111"/>
      <c r="D781" s="123" t="s">
        <v>1216</v>
      </c>
      <c r="E781" s="113"/>
      <c r="F781" s="119" t="n">
        <v>0</v>
      </c>
      <c r="G781" s="119" t="n">
        <v>0</v>
      </c>
      <c r="H781" s="115" t="n">
        <f aca="false">IFERROR(SUM($F781:$G781),"")</f>
        <v>0</v>
      </c>
      <c r="J781" s="116"/>
      <c r="K781" s="116"/>
      <c r="L781" s="116"/>
      <c r="M781" s="116"/>
      <c r="N781" s="116"/>
      <c r="O781" s="116"/>
      <c r="P781" s="116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</row>
    <row r="782" customFormat="false" ht="16.5" hidden="false" customHeight="true" outlineLevel="0" collapsed="false">
      <c r="A782" s="102"/>
      <c r="B782" s="117" t="s">
        <v>1217</v>
      </c>
      <c r="C782" s="111"/>
      <c r="D782" s="118" t="s">
        <v>1218</v>
      </c>
      <c r="E782" s="113" t="s">
        <v>85</v>
      </c>
      <c r="F782" s="119" t="n">
        <v>762</v>
      </c>
      <c r="G782" s="119" t="n">
        <v>0</v>
      </c>
      <c r="H782" s="115" t="n">
        <f aca="false">IFERROR(SUM($F782:$G782),"")</f>
        <v>762</v>
      </c>
      <c r="J782" s="120" t="n">
        <v>2.8</v>
      </c>
      <c r="K782" s="121" t="n">
        <f aca="false">+$H782*J782</f>
        <v>2133.6</v>
      </c>
      <c r="L782" s="122" t="n">
        <v>14</v>
      </c>
      <c r="M782" s="122" t="n">
        <v>150</v>
      </c>
      <c r="N782" s="121" t="n">
        <f aca="false">+$H782*L782</f>
        <v>10668</v>
      </c>
      <c r="O782" s="121" t="n">
        <f aca="false">+$H782*M782</f>
        <v>114300</v>
      </c>
      <c r="P782" s="121" t="n">
        <f aca="false">+SUM(N782:O782)</f>
        <v>124968</v>
      </c>
      <c r="R782" s="109"/>
      <c r="S782" s="109" t="n">
        <f aca="false">+R782*$H782</f>
        <v>0</v>
      </c>
      <c r="T782" s="109"/>
      <c r="U782" s="109" t="n">
        <f aca="false">+T782*$H782</f>
        <v>0</v>
      </c>
      <c r="V782" s="109" t="n">
        <f aca="false">+T782*$V$11</f>
        <v>0</v>
      </c>
      <c r="W782" s="109" t="n">
        <f aca="false">+V782*$H782</f>
        <v>0</v>
      </c>
      <c r="X782" s="109"/>
      <c r="Y782" s="109" t="n">
        <f aca="false">+X782*$H782</f>
        <v>0</v>
      </c>
      <c r="Z782" s="109"/>
      <c r="AA782" s="109" t="n">
        <f aca="false">+Z782*$H782</f>
        <v>0</v>
      </c>
      <c r="AB782" s="109"/>
      <c r="AC782" s="109" t="n">
        <f aca="false">+AB782*$H782</f>
        <v>0</v>
      </c>
      <c r="AD782" s="109" t="n">
        <f aca="false">+R782+V782+X782+Z782+AB782</f>
        <v>0</v>
      </c>
      <c r="AE782" s="109" t="n">
        <f aca="false">+AD782*$H782</f>
        <v>0</v>
      </c>
    </row>
    <row r="783" customFormat="false" ht="16.5" hidden="false" customHeight="true" outlineLevel="0" collapsed="false">
      <c r="A783" s="102"/>
      <c r="B783" s="117" t="s">
        <v>1219</v>
      </c>
      <c r="C783" s="111"/>
      <c r="D783" s="118" t="s">
        <v>1220</v>
      </c>
      <c r="E783" s="113" t="s">
        <v>85</v>
      </c>
      <c r="F783" s="119" t="n">
        <v>1758</v>
      </c>
      <c r="G783" s="119" t="n">
        <v>0</v>
      </c>
      <c r="H783" s="115" t="n">
        <f aca="false">IFERROR(SUM($F783:$G783),"")</f>
        <v>1758</v>
      </c>
      <c r="J783" s="120" t="n">
        <v>3.2</v>
      </c>
      <c r="K783" s="121" t="n">
        <f aca="false">+$H783*J783</f>
        <v>5625.6</v>
      </c>
      <c r="L783" s="122" t="n">
        <v>16</v>
      </c>
      <c r="M783" s="122" t="n">
        <v>400</v>
      </c>
      <c r="N783" s="121" t="n">
        <f aca="false">+$H783*L783</f>
        <v>28128</v>
      </c>
      <c r="O783" s="121" t="n">
        <f aca="false">+$H783*M783</f>
        <v>703200</v>
      </c>
      <c r="P783" s="121" t="n">
        <f aca="false">+SUM(N783:O783)</f>
        <v>731328</v>
      </c>
      <c r="R783" s="109"/>
      <c r="S783" s="109" t="n">
        <f aca="false">+R783*$H783</f>
        <v>0</v>
      </c>
      <c r="T783" s="109"/>
      <c r="U783" s="109" t="n">
        <f aca="false">+T783*$H783</f>
        <v>0</v>
      </c>
      <c r="V783" s="109" t="n">
        <f aca="false">+T783*$V$11</f>
        <v>0</v>
      </c>
      <c r="W783" s="109" t="n">
        <f aca="false">+V783*$H783</f>
        <v>0</v>
      </c>
      <c r="X783" s="109"/>
      <c r="Y783" s="109" t="n">
        <f aca="false">+X783*$H783</f>
        <v>0</v>
      </c>
      <c r="Z783" s="109"/>
      <c r="AA783" s="109" t="n">
        <f aca="false">+Z783*$H783</f>
        <v>0</v>
      </c>
      <c r="AB783" s="109"/>
      <c r="AC783" s="109" t="n">
        <f aca="false">+AB783*$H783</f>
        <v>0</v>
      </c>
      <c r="AD783" s="109" t="n">
        <f aca="false">+R783+V783+X783+Z783+AB783</f>
        <v>0</v>
      </c>
      <c r="AE783" s="109" t="n">
        <f aca="false">+AD783*$H783</f>
        <v>0</v>
      </c>
    </row>
    <row r="784" customFormat="false" ht="16.5" hidden="false" customHeight="true" outlineLevel="0" collapsed="false">
      <c r="A784" s="102"/>
      <c r="B784" s="117" t="s">
        <v>1221</v>
      </c>
      <c r="C784" s="111"/>
      <c r="D784" s="118" t="s">
        <v>1222</v>
      </c>
      <c r="E784" s="113" t="s">
        <v>85</v>
      </c>
      <c r="F784" s="119" t="n">
        <v>71</v>
      </c>
      <c r="G784" s="119" t="n">
        <v>0</v>
      </c>
      <c r="H784" s="115" t="n">
        <f aca="false">IFERROR(SUM($F784:$G784),"")</f>
        <v>71</v>
      </c>
      <c r="J784" s="120" t="n">
        <v>4.8</v>
      </c>
      <c r="K784" s="121" t="n">
        <f aca="false">+$H784*J784</f>
        <v>340.8</v>
      </c>
      <c r="L784" s="122" t="n">
        <v>24</v>
      </c>
      <c r="M784" s="122" t="n">
        <v>1000</v>
      </c>
      <c r="N784" s="121" t="n">
        <f aca="false">+$H784*L784</f>
        <v>1704</v>
      </c>
      <c r="O784" s="121" t="n">
        <f aca="false">+$H784*M784</f>
        <v>71000</v>
      </c>
      <c r="P784" s="121" t="n">
        <f aca="false">+SUM(N784:O784)</f>
        <v>72704</v>
      </c>
      <c r="R784" s="109"/>
      <c r="S784" s="109" t="n">
        <f aca="false">+R784*$H784</f>
        <v>0</v>
      </c>
      <c r="T784" s="109"/>
      <c r="U784" s="109" t="n">
        <f aca="false">+T784*$H784</f>
        <v>0</v>
      </c>
      <c r="V784" s="109" t="n">
        <f aca="false">+T784*$V$11</f>
        <v>0</v>
      </c>
      <c r="W784" s="109" t="n">
        <f aca="false">+V784*$H784</f>
        <v>0</v>
      </c>
      <c r="X784" s="109"/>
      <c r="Y784" s="109" t="n">
        <f aca="false">+X784*$H784</f>
        <v>0</v>
      </c>
      <c r="Z784" s="109"/>
      <c r="AA784" s="109" t="n">
        <f aca="false">+Z784*$H784</f>
        <v>0</v>
      </c>
      <c r="AB784" s="109"/>
      <c r="AC784" s="109" t="n">
        <f aca="false">+AB784*$H784</f>
        <v>0</v>
      </c>
      <c r="AD784" s="109" t="n">
        <f aca="false">+R784+V784+X784+Z784+AB784</f>
        <v>0</v>
      </c>
      <c r="AE784" s="109" t="n">
        <f aca="false">+AD784*$H784</f>
        <v>0</v>
      </c>
    </row>
    <row r="785" customFormat="false" ht="16.5" hidden="true" customHeight="true" outlineLevel="0" collapsed="false">
      <c r="A785" s="102"/>
      <c r="B785" s="117" t="s">
        <v>1223</v>
      </c>
      <c r="C785" s="111"/>
      <c r="D785" s="118" t="s">
        <v>1224</v>
      </c>
      <c r="E785" s="113" t="s">
        <v>85</v>
      </c>
      <c r="F785" s="119" t="n">
        <v>0</v>
      </c>
      <c r="G785" s="119" t="n">
        <v>0</v>
      </c>
      <c r="H785" s="115" t="n">
        <f aca="false">IFERROR(SUM($F785:$G785),"")</f>
        <v>0</v>
      </c>
      <c r="J785" s="116"/>
      <c r="K785" s="116"/>
      <c r="L785" s="116"/>
      <c r="M785" s="116"/>
      <c r="N785" s="116"/>
      <c r="O785" s="116"/>
      <c r="P785" s="116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</row>
    <row r="786" customFormat="false" ht="16.5" hidden="true" customHeight="true" outlineLevel="0" collapsed="false">
      <c r="A786" s="102"/>
      <c r="B786" s="117" t="s">
        <v>1225</v>
      </c>
      <c r="C786" s="111"/>
      <c r="D786" s="118" t="s">
        <v>1226</v>
      </c>
      <c r="E786" s="113" t="s">
        <v>85</v>
      </c>
      <c r="F786" s="119" t="n">
        <v>0</v>
      </c>
      <c r="G786" s="119" t="n">
        <v>0</v>
      </c>
      <c r="H786" s="115" t="n">
        <f aca="false">IFERROR(SUM($F786:$G786),"")</f>
        <v>0</v>
      </c>
      <c r="J786" s="116"/>
      <c r="K786" s="116"/>
      <c r="L786" s="116"/>
      <c r="M786" s="116"/>
      <c r="N786" s="116"/>
      <c r="O786" s="116"/>
      <c r="P786" s="116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</row>
    <row r="787" customFormat="false" ht="16.5" hidden="true" customHeight="true" outlineLevel="0" collapsed="false">
      <c r="A787" s="102"/>
      <c r="B787" s="117" t="s">
        <v>1227</v>
      </c>
      <c r="C787" s="111"/>
      <c r="D787" s="118" t="s">
        <v>1228</v>
      </c>
      <c r="E787" s="113" t="s">
        <v>85</v>
      </c>
      <c r="F787" s="119" t="n">
        <v>0</v>
      </c>
      <c r="G787" s="119" t="n">
        <v>0</v>
      </c>
      <c r="H787" s="115" t="n">
        <f aca="false">IFERROR(SUM($F787:$G787),"")</f>
        <v>0</v>
      </c>
      <c r="J787" s="116"/>
      <c r="K787" s="116"/>
      <c r="L787" s="116"/>
      <c r="M787" s="116"/>
      <c r="N787" s="116"/>
      <c r="O787" s="116"/>
      <c r="P787" s="116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</row>
    <row r="788" customFormat="false" ht="16.5" hidden="true" customHeight="true" outlineLevel="0" collapsed="false">
      <c r="A788" s="102"/>
      <c r="B788" s="117" t="s">
        <v>1229</v>
      </c>
      <c r="C788" s="111"/>
      <c r="D788" s="118" t="s">
        <v>1230</v>
      </c>
      <c r="E788" s="113" t="s">
        <v>85</v>
      </c>
      <c r="F788" s="119" t="n">
        <v>0</v>
      </c>
      <c r="G788" s="119" t="n">
        <v>0</v>
      </c>
      <c r="H788" s="115" t="n">
        <f aca="false">IFERROR(SUM($F788:$G788),"")</f>
        <v>0</v>
      </c>
      <c r="J788" s="116"/>
      <c r="K788" s="116"/>
      <c r="L788" s="116"/>
      <c r="M788" s="116"/>
      <c r="N788" s="116"/>
      <c r="O788" s="116"/>
      <c r="P788" s="116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</row>
    <row r="789" customFormat="false" ht="16.5" hidden="true" customHeight="true" outlineLevel="0" collapsed="false">
      <c r="A789" s="102"/>
      <c r="B789" s="117" t="s">
        <v>1231</v>
      </c>
      <c r="C789" s="111"/>
      <c r="D789" s="118" t="s">
        <v>1232</v>
      </c>
      <c r="E789" s="113" t="s">
        <v>85</v>
      </c>
      <c r="F789" s="119" t="n">
        <v>0</v>
      </c>
      <c r="G789" s="119" t="n">
        <v>0</v>
      </c>
      <c r="H789" s="115" t="n">
        <f aca="false">IFERROR(SUM($F789:$G789),"")</f>
        <v>0</v>
      </c>
      <c r="J789" s="116"/>
      <c r="K789" s="116"/>
      <c r="L789" s="116"/>
      <c r="M789" s="116"/>
      <c r="N789" s="116"/>
      <c r="O789" s="116"/>
      <c r="P789" s="116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</row>
    <row r="790" customFormat="false" ht="16.5" hidden="true" customHeight="true" outlineLevel="0" collapsed="false">
      <c r="A790" s="102"/>
      <c r="B790" s="117" t="s">
        <v>1233</v>
      </c>
      <c r="C790" s="111"/>
      <c r="D790" s="118" t="s">
        <v>1234</v>
      </c>
      <c r="E790" s="113" t="s">
        <v>85</v>
      </c>
      <c r="F790" s="119" t="n">
        <v>0</v>
      </c>
      <c r="G790" s="119" t="n">
        <v>0</v>
      </c>
      <c r="H790" s="115" t="n">
        <f aca="false">IFERROR(SUM($F790:$G790),"")</f>
        <v>0</v>
      </c>
      <c r="J790" s="116"/>
      <c r="K790" s="116"/>
      <c r="L790" s="116"/>
      <c r="M790" s="116"/>
      <c r="N790" s="116"/>
      <c r="O790" s="116"/>
      <c r="P790" s="116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</row>
    <row r="791" customFormat="false" ht="16.5" hidden="true" customHeight="true" outlineLevel="0" collapsed="false">
      <c r="A791" s="102"/>
      <c r="B791" s="117" t="s">
        <v>1235</v>
      </c>
      <c r="C791" s="111"/>
      <c r="D791" s="118" t="s">
        <v>1236</v>
      </c>
      <c r="E791" s="113" t="s">
        <v>85</v>
      </c>
      <c r="F791" s="119" t="n">
        <v>0</v>
      </c>
      <c r="G791" s="119" t="n">
        <v>0</v>
      </c>
      <c r="H791" s="115" t="n">
        <f aca="false">IFERROR(SUM($F791:$G791),"")</f>
        <v>0</v>
      </c>
      <c r="J791" s="116"/>
      <c r="K791" s="116"/>
      <c r="L791" s="116"/>
      <c r="M791" s="116"/>
      <c r="N791" s="116"/>
      <c r="O791" s="116"/>
      <c r="P791" s="116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</row>
    <row r="792" customFormat="false" ht="16.5" hidden="true" customHeight="true" outlineLevel="0" collapsed="false">
      <c r="A792" s="102"/>
      <c r="B792" s="110" t="s">
        <v>1237</v>
      </c>
      <c r="C792" s="111"/>
      <c r="D792" s="123" t="s">
        <v>1238</v>
      </c>
      <c r="E792" s="113"/>
      <c r="F792" s="119" t="n">
        <v>0</v>
      </c>
      <c r="G792" s="119" t="n">
        <v>0</v>
      </c>
      <c r="H792" s="115" t="n">
        <f aca="false">IFERROR(SUM($F792:$G792),"")</f>
        <v>0</v>
      </c>
      <c r="J792" s="116"/>
      <c r="K792" s="116"/>
      <c r="L792" s="116"/>
      <c r="M792" s="116"/>
      <c r="N792" s="116"/>
      <c r="O792" s="116"/>
      <c r="P792" s="116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</row>
    <row r="793" customFormat="false" ht="16.5" hidden="true" customHeight="true" outlineLevel="0" collapsed="false">
      <c r="A793" s="102"/>
      <c r="B793" s="117" t="s">
        <v>1239</v>
      </c>
      <c r="C793" s="111"/>
      <c r="D793" s="118" t="s">
        <v>1240</v>
      </c>
      <c r="E793" s="113" t="s">
        <v>85</v>
      </c>
      <c r="F793" s="119" t="n">
        <v>0</v>
      </c>
      <c r="G793" s="119" t="n">
        <v>0</v>
      </c>
      <c r="H793" s="115" t="n">
        <f aca="false">IFERROR(SUM($F793:$G793),"")</f>
        <v>0</v>
      </c>
      <c r="J793" s="116"/>
      <c r="K793" s="116"/>
      <c r="L793" s="116"/>
      <c r="M793" s="116"/>
      <c r="N793" s="116"/>
      <c r="O793" s="116"/>
      <c r="P793" s="116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</row>
    <row r="794" customFormat="false" ht="16.5" hidden="true" customHeight="true" outlineLevel="0" collapsed="false">
      <c r="A794" s="102"/>
      <c r="B794" s="117" t="s">
        <v>1241</v>
      </c>
      <c r="C794" s="111"/>
      <c r="D794" s="118" t="s">
        <v>1242</v>
      </c>
      <c r="E794" s="113" t="s">
        <v>85</v>
      </c>
      <c r="F794" s="119" t="n">
        <v>0</v>
      </c>
      <c r="G794" s="119" t="n">
        <v>0</v>
      </c>
      <c r="H794" s="115" t="n">
        <f aca="false">IFERROR(SUM($F794:$G794),"")</f>
        <v>0</v>
      </c>
      <c r="J794" s="116"/>
      <c r="K794" s="116"/>
      <c r="L794" s="116"/>
      <c r="M794" s="116"/>
      <c r="N794" s="116"/>
      <c r="O794" s="116"/>
      <c r="P794" s="116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</row>
    <row r="795" customFormat="false" ht="16.5" hidden="true" customHeight="true" outlineLevel="0" collapsed="false">
      <c r="A795" s="102"/>
      <c r="B795" s="117" t="s">
        <v>1243</v>
      </c>
      <c r="C795" s="111"/>
      <c r="D795" s="118" t="s">
        <v>1244</v>
      </c>
      <c r="E795" s="113" t="s">
        <v>85</v>
      </c>
      <c r="F795" s="119" t="n">
        <v>0</v>
      </c>
      <c r="G795" s="119" t="n">
        <v>0</v>
      </c>
      <c r="H795" s="115" t="n">
        <f aca="false">IFERROR(SUM($F795:$G795),"")</f>
        <v>0</v>
      </c>
      <c r="J795" s="116"/>
      <c r="K795" s="116"/>
      <c r="L795" s="116"/>
      <c r="M795" s="116"/>
      <c r="N795" s="116"/>
      <c r="O795" s="116"/>
      <c r="P795" s="116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</row>
    <row r="796" customFormat="false" ht="16.5" hidden="true" customHeight="true" outlineLevel="0" collapsed="false">
      <c r="A796" s="102"/>
      <c r="B796" s="117" t="s">
        <v>1245</v>
      </c>
      <c r="C796" s="111"/>
      <c r="D796" s="118" t="s">
        <v>1246</v>
      </c>
      <c r="E796" s="113" t="s">
        <v>85</v>
      </c>
      <c r="F796" s="119" t="n">
        <v>0</v>
      </c>
      <c r="G796" s="119" t="n">
        <v>0</v>
      </c>
      <c r="H796" s="115" t="n">
        <f aca="false">IFERROR(SUM($F796:$G796),"")</f>
        <v>0</v>
      </c>
      <c r="J796" s="116"/>
      <c r="K796" s="116"/>
      <c r="L796" s="116"/>
      <c r="M796" s="116"/>
      <c r="N796" s="116"/>
      <c r="O796" s="116"/>
      <c r="P796" s="116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</row>
    <row r="797" customFormat="false" ht="16.5" hidden="true" customHeight="true" outlineLevel="0" collapsed="false">
      <c r="A797" s="102"/>
      <c r="B797" s="110" t="s">
        <v>1247</v>
      </c>
      <c r="C797" s="111"/>
      <c r="D797" s="123" t="s">
        <v>1248</v>
      </c>
      <c r="E797" s="113"/>
      <c r="F797" s="119" t="n">
        <v>0</v>
      </c>
      <c r="G797" s="119" t="n">
        <v>0</v>
      </c>
      <c r="H797" s="115" t="n">
        <f aca="false">IFERROR(SUM($F797:$G797),"")</f>
        <v>0</v>
      </c>
      <c r="J797" s="116"/>
      <c r="K797" s="116"/>
      <c r="L797" s="116"/>
      <c r="M797" s="116"/>
      <c r="N797" s="116"/>
      <c r="O797" s="116"/>
      <c r="P797" s="116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</row>
    <row r="798" customFormat="false" ht="16.5" hidden="true" customHeight="true" outlineLevel="0" collapsed="false">
      <c r="A798" s="102"/>
      <c r="B798" s="117" t="s">
        <v>1249</v>
      </c>
      <c r="C798" s="111"/>
      <c r="D798" s="118" t="s">
        <v>1250</v>
      </c>
      <c r="E798" s="113" t="s">
        <v>85</v>
      </c>
      <c r="F798" s="119" t="n">
        <v>0</v>
      </c>
      <c r="G798" s="119" t="n">
        <v>0</v>
      </c>
      <c r="H798" s="115" t="n">
        <f aca="false">IFERROR(SUM($F798:$G798),"")</f>
        <v>0</v>
      </c>
      <c r="J798" s="116"/>
      <c r="K798" s="116"/>
      <c r="L798" s="116"/>
      <c r="M798" s="116"/>
      <c r="N798" s="116"/>
      <c r="O798" s="116"/>
      <c r="P798" s="116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</row>
    <row r="799" customFormat="false" ht="16.5" hidden="true" customHeight="true" outlineLevel="0" collapsed="false">
      <c r="A799" s="102"/>
      <c r="B799" s="117" t="s">
        <v>1251</v>
      </c>
      <c r="C799" s="111"/>
      <c r="D799" s="118" t="s">
        <v>1252</v>
      </c>
      <c r="E799" s="113" t="s">
        <v>85</v>
      </c>
      <c r="F799" s="119" t="n">
        <v>0</v>
      </c>
      <c r="G799" s="119" t="n">
        <v>0</v>
      </c>
      <c r="H799" s="115" t="n">
        <f aca="false">IFERROR(SUM($F799:$G799),"")</f>
        <v>0</v>
      </c>
      <c r="J799" s="116"/>
      <c r="K799" s="116"/>
      <c r="L799" s="116"/>
      <c r="M799" s="116"/>
      <c r="N799" s="116"/>
      <c r="O799" s="116"/>
      <c r="P799" s="116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</row>
    <row r="800" customFormat="false" ht="16.5" hidden="true" customHeight="true" outlineLevel="0" collapsed="false">
      <c r="A800" s="102"/>
      <c r="B800" s="117" t="s">
        <v>1253</v>
      </c>
      <c r="C800" s="111"/>
      <c r="D800" s="118" t="s">
        <v>1254</v>
      </c>
      <c r="E800" s="113" t="s">
        <v>85</v>
      </c>
      <c r="F800" s="119" t="n">
        <v>0</v>
      </c>
      <c r="G800" s="119" t="n">
        <v>0</v>
      </c>
      <c r="H800" s="115" t="n">
        <f aca="false">IFERROR(SUM($F800:$G800),"")</f>
        <v>0</v>
      </c>
      <c r="J800" s="116"/>
      <c r="K800" s="116"/>
      <c r="L800" s="116"/>
      <c r="M800" s="116"/>
      <c r="N800" s="116"/>
      <c r="O800" s="116"/>
      <c r="P800" s="116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</row>
    <row r="801" customFormat="false" ht="16.5" hidden="true" customHeight="true" outlineLevel="0" collapsed="false">
      <c r="A801" s="102"/>
      <c r="B801" s="117" t="s">
        <v>1255</v>
      </c>
      <c r="C801" s="111"/>
      <c r="D801" s="118" t="s">
        <v>1256</v>
      </c>
      <c r="E801" s="113" t="s">
        <v>85</v>
      </c>
      <c r="F801" s="119" t="n">
        <v>0</v>
      </c>
      <c r="G801" s="119" t="n">
        <v>0</v>
      </c>
      <c r="H801" s="115" t="n">
        <f aca="false">IFERROR(SUM($F801:$G801),"")</f>
        <v>0</v>
      </c>
      <c r="J801" s="116"/>
      <c r="K801" s="116"/>
      <c r="L801" s="116"/>
      <c r="M801" s="116"/>
      <c r="N801" s="116"/>
      <c r="O801" s="116"/>
      <c r="P801" s="116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</row>
    <row r="802" customFormat="false" ht="16.5" hidden="true" customHeight="true" outlineLevel="0" collapsed="false">
      <c r="A802" s="102"/>
      <c r="B802" s="117" t="s">
        <v>1257</v>
      </c>
      <c r="C802" s="111"/>
      <c r="D802" s="118" t="s">
        <v>1258</v>
      </c>
      <c r="E802" s="113" t="s">
        <v>85</v>
      </c>
      <c r="F802" s="119" t="n">
        <v>0</v>
      </c>
      <c r="G802" s="119" t="n">
        <v>0</v>
      </c>
      <c r="H802" s="115" t="n">
        <f aca="false">IFERROR(SUM($F802:$G802),"")</f>
        <v>0</v>
      </c>
      <c r="J802" s="116"/>
      <c r="K802" s="116"/>
      <c r="L802" s="116"/>
      <c r="M802" s="116"/>
      <c r="N802" s="116"/>
      <c r="O802" s="116"/>
      <c r="P802" s="116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</row>
    <row r="803" customFormat="false" ht="16.5" hidden="true" customHeight="true" outlineLevel="0" collapsed="false">
      <c r="A803" s="102"/>
      <c r="B803" s="117" t="s">
        <v>1259</v>
      </c>
      <c r="C803" s="111"/>
      <c r="D803" s="118" t="s">
        <v>1260</v>
      </c>
      <c r="E803" s="113" t="s">
        <v>85</v>
      </c>
      <c r="F803" s="119" t="n">
        <v>0</v>
      </c>
      <c r="G803" s="119" t="n">
        <v>0</v>
      </c>
      <c r="H803" s="115" t="n">
        <f aca="false">IFERROR(SUM($F803:$G803),"")</f>
        <v>0</v>
      </c>
      <c r="J803" s="116"/>
      <c r="K803" s="116"/>
      <c r="L803" s="116"/>
      <c r="M803" s="116"/>
      <c r="N803" s="116"/>
      <c r="O803" s="116"/>
      <c r="P803" s="116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</row>
    <row r="804" customFormat="false" ht="16.5" hidden="false" customHeight="true" outlineLevel="0" collapsed="false">
      <c r="A804" s="102"/>
      <c r="B804" s="110" t="s">
        <v>1261</v>
      </c>
      <c r="C804" s="111"/>
      <c r="D804" s="123" t="s">
        <v>1262</v>
      </c>
      <c r="E804" s="113"/>
      <c r="F804" s="119" t="n">
        <v>0</v>
      </c>
      <c r="G804" s="119" t="n">
        <v>0</v>
      </c>
      <c r="H804" s="115" t="n">
        <f aca="false">IFERROR(SUM($F804:$G804),"")</f>
        <v>0</v>
      </c>
      <c r="J804" s="116"/>
      <c r="K804" s="116"/>
      <c r="L804" s="116"/>
      <c r="M804" s="116"/>
      <c r="N804" s="116"/>
      <c r="O804" s="116"/>
      <c r="P804" s="116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</row>
    <row r="805" customFormat="false" ht="16.5" hidden="false" customHeight="true" outlineLevel="0" collapsed="false">
      <c r="A805" s="102"/>
      <c r="B805" s="117" t="s">
        <v>1263</v>
      </c>
      <c r="C805" s="111"/>
      <c r="D805" s="118" t="s">
        <v>1264</v>
      </c>
      <c r="E805" s="113" t="s">
        <v>85</v>
      </c>
      <c r="F805" s="119" t="n">
        <v>183</v>
      </c>
      <c r="G805" s="119" t="n">
        <v>0</v>
      </c>
      <c r="H805" s="115" t="n">
        <f aca="false">IFERROR(SUM($F805:$G805),"")</f>
        <v>183</v>
      </c>
      <c r="J805" s="120" t="n">
        <v>2</v>
      </c>
      <c r="K805" s="121" t="n">
        <f aca="false">+$H805*J805</f>
        <v>366</v>
      </c>
      <c r="L805" s="122" t="n">
        <v>10</v>
      </c>
      <c r="M805" s="122" t="n">
        <v>120</v>
      </c>
      <c r="N805" s="121" t="n">
        <f aca="false">+$H805*L805</f>
        <v>1830</v>
      </c>
      <c r="O805" s="121" t="n">
        <f aca="false">+$H805*M805</f>
        <v>21960</v>
      </c>
      <c r="P805" s="121" t="n">
        <f aca="false">+SUM(N805:O805)</f>
        <v>23790</v>
      </c>
      <c r="R805" s="109"/>
      <c r="S805" s="109" t="n">
        <f aca="false">+R805*$H805</f>
        <v>0</v>
      </c>
      <c r="T805" s="109"/>
      <c r="U805" s="109" t="n">
        <f aca="false">+T805*$H805</f>
        <v>0</v>
      </c>
      <c r="V805" s="109" t="n">
        <f aca="false">+T805*$V$11</f>
        <v>0</v>
      </c>
      <c r="W805" s="109" t="n">
        <f aca="false">+V805*$H805</f>
        <v>0</v>
      </c>
      <c r="X805" s="109"/>
      <c r="Y805" s="109" t="n">
        <f aca="false">+X805*$H805</f>
        <v>0</v>
      </c>
      <c r="Z805" s="109"/>
      <c r="AA805" s="109" t="n">
        <f aca="false">+Z805*$H805</f>
        <v>0</v>
      </c>
      <c r="AB805" s="109"/>
      <c r="AC805" s="109" t="n">
        <f aca="false">+AB805*$H805</f>
        <v>0</v>
      </c>
      <c r="AD805" s="109" t="n">
        <f aca="false">+R805+V805+X805+Z805+AB805</f>
        <v>0</v>
      </c>
      <c r="AE805" s="109" t="n">
        <f aca="false">+AD805*$H805</f>
        <v>0</v>
      </c>
    </row>
    <row r="806" customFormat="false" ht="16.5" hidden="true" customHeight="true" outlineLevel="0" collapsed="false">
      <c r="A806" s="102"/>
      <c r="B806" s="117" t="s">
        <v>1265</v>
      </c>
      <c r="C806" s="111"/>
      <c r="D806" s="118" t="s">
        <v>1266</v>
      </c>
      <c r="E806" s="113" t="s">
        <v>85</v>
      </c>
      <c r="F806" s="119" t="n">
        <v>0</v>
      </c>
      <c r="G806" s="119" t="n">
        <v>0</v>
      </c>
      <c r="H806" s="115" t="n">
        <f aca="false">IFERROR(SUM($F806:$G806),"")</f>
        <v>0</v>
      </c>
      <c r="J806" s="116"/>
      <c r="K806" s="116"/>
      <c r="L806" s="116"/>
      <c r="M806" s="116"/>
      <c r="N806" s="116"/>
      <c r="O806" s="116"/>
      <c r="P806" s="116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</row>
    <row r="807" customFormat="false" ht="16.5" hidden="true" customHeight="true" outlineLevel="0" collapsed="false">
      <c r="A807" s="102"/>
      <c r="B807" s="110" t="s">
        <v>1267</v>
      </c>
      <c r="C807" s="111"/>
      <c r="D807" s="123" t="s">
        <v>1268</v>
      </c>
      <c r="E807" s="113"/>
      <c r="F807" s="119" t="n">
        <v>0</v>
      </c>
      <c r="G807" s="119" t="n">
        <v>0</v>
      </c>
      <c r="H807" s="115" t="n">
        <f aca="false">IFERROR(SUM($F807:$G807),"")</f>
        <v>0</v>
      </c>
      <c r="J807" s="116"/>
      <c r="K807" s="116"/>
      <c r="L807" s="116"/>
      <c r="M807" s="116"/>
      <c r="N807" s="116"/>
      <c r="O807" s="116"/>
      <c r="P807" s="116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</row>
    <row r="808" customFormat="false" ht="16.5" hidden="true" customHeight="true" outlineLevel="0" collapsed="false">
      <c r="A808" s="102"/>
      <c r="B808" s="117" t="s">
        <v>1269</v>
      </c>
      <c r="C808" s="111"/>
      <c r="D808" s="118" t="s">
        <v>1095</v>
      </c>
      <c r="E808" s="113" t="s">
        <v>85</v>
      </c>
      <c r="F808" s="119" t="n">
        <v>0</v>
      </c>
      <c r="G808" s="119" t="n">
        <v>0</v>
      </c>
      <c r="H808" s="115" t="n">
        <f aca="false">IFERROR(SUM($F808:$G808),"")</f>
        <v>0</v>
      </c>
      <c r="J808" s="116"/>
      <c r="K808" s="116"/>
      <c r="L808" s="116"/>
      <c r="M808" s="116"/>
      <c r="N808" s="116"/>
      <c r="O808" s="116"/>
      <c r="P808" s="116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</row>
    <row r="809" customFormat="false" ht="16.5" hidden="true" customHeight="true" outlineLevel="0" collapsed="false">
      <c r="A809" s="102"/>
      <c r="B809" s="117" t="s">
        <v>1270</v>
      </c>
      <c r="C809" s="111"/>
      <c r="D809" s="118" t="s">
        <v>1097</v>
      </c>
      <c r="E809" s="113" t="s">
        <v>85</v>
      </c>
      <c r="F809" s="119" t="n">
        <v>0</v>
      </c>
      <c r="G809" s="119" t="n">
        <v>0</v>
      </c>
      <c r="H809" s="115" t="n">
        <f aca="false">IFERROR(SUM($F809:$G809),"")</f>
        <v>0</v>
      </c>
      <c r="J809" s="116"/>
      <c r="K809" s="116"/>
      <c r="L809" s="116"/>
      <c r="M809" s="116"/>
      <c r="N809" s="116"/>
      <c r="O809" s="116"/>
      <c r="P809" s="116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</row>
    <row r="810" customFormat="false" ht="16.5" hidden="false" customHeight="true" outlineLevel="0" collapsed="false">
      <c r="A810" s="102"/>
      <c r="B810" s="110" t="s">
        <v>1271</v>
      </c>
      <c r="C810" s="111"/>
      <c r="D810" s="123" t="s">
        <v>1272</v>
      </c>
      <c r="E810" s="113"/>
      <c r="F810" s="119" t="n">
        <v>0</v>
      </c>
      <c r="G810" s="119" t="n">
        <v>0</v>
      </c>
      <c r="H810" s="115" t="n">
        <f aca="false">IFERROR(SUM($F810:$G810),"")</f>
        <v>0</v>
      </c>
      <c r="J810" s="116"/>
      <c r="K810" s="116"/>
      <c r="L810" s="116"/>
      <c r="M810" s="116"/>
      <c r="N810" s="116"/>
      <c r="O810" s="116"/>
      <c r="P810" s="116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</row>
    <row r="811" customFormat="false" ht="16.5" hidden="false" customHeight="true" outlineLevel="0" collapsed="false">
      <c r="A811" s="102"/>
      <c r="B811" s="117" t="s">
        <v>1273</v>
      </c>
      <c r="C811" s="111"/>
      <c r="D811" s="118" t="s">
        <v>1274</v>
      </c>
      <c r="E811" s="113" t="s">
        <v>85</v>
      </c>
      <c r="F811" s="119" t="n">
        <v>3</v>
      </c>
      <c r="G811" s="119" t="n">
        <v>0</v>
      </c>
      <c r="H811" s="115" t="n">
        <f aca="false">IFERROR(SUM($F811:$G811),"")</f>
        <v>3</v>
      </c>
      <c r="J811" s="120" t="n">
        <v>13</v>
      </c>
      <c r="K811" s="121" t="n">
        <f aca="false">+$H811*J811</f>
        <v>39</v>
      </c>
      <c r="L811" s="122" t="n">
        <v>65</v>
      </c>
      <c r="M811" s="122" t="n">
        <v>800</v>
      </c>
      <c r="N811" s="121" t="n">
        <f aca="false">+$H811*L811</f>
        <v>195</v>
      </c>
      <c r="O811" s="121" t="n">
        <f aca="false">+$H811*M811</f>
        <v>2400</v>
      </c>
      <c r="P811" s="121" t="n">
        <f aca="false">+SUM(N811:O811)</f>
        <v>2595</v>
      </c>
      <c r="R811" s="109"/>
      <c r="S811" s="109" t="n">
        <f aca="false">+R811*$H811</f>
        <v>0</v>
      </c>
      <c r="T811" s="109"/>
      <c r="U811" s="109" t="n">
        <f aca="false">+T811*$H811</f>
        <v>0</v>
      </c>
      <c r="V811" s="109" t="n">
        <f aca="false">+T811*$V$11</f>
        <v>0</v>
      </c>
      <c r="W811" s="109" t="n">
        <f aca="false">+V811*$H811</f>
        <v>0</v>
      </c>
      <c r="X811" s="109"/>
      <c r="Y811" s="109" t="n">
        <f aca="false">+X811*$H811</f>
        <v>0</v>
      </c>
      <c r="Z811" s="109"/>
      <c r="AA811" s="109" t="n">
        <f aca="false">+Z811*$H811</f>
        <v>0</v>
      </c>
      <c r="AB811" s="109"/>
      <c r="AC811" s="109" t="n">
        <f aca="false">+AB811*$H811</f>
        <v>0</v>
      </c>
      <c r="AD811" s="109" t="n">
        <f aca="false">+R811+V811+X811+Z811+AB811</f>
        <v>0</v>
      </c>
      <c r="AE811" s="109" t="n">
        <f aca="false">+AD811*$H811</f>
        <v>0</v>
      </c>
    </row>
    <row r="812" customFormat="false" ht="18.75" hidden="false" customHeight="true" outlineLevel="0" collapsed="false">
      <c r="A812" s="102"/>
      <c r="B812" s="117" t="s">
        <v>1275</v>
      </c>
      <c r="C812" s="111"/>
      <c r="D812" s="118" t="s">
        <v>1276</v>
      </c>
      <c r="E812" s="113" t="s">
        <v>85</v>
      </c>
      <c r="F812" s="119" t="n">
        <v>14</v>
      </c>
      <c r="G812" s="119" t="n">
        <v>0</v>
      </c>
      <c r="H812" s="115" t="n">
        <f aca="false">IFERROR(SUM($F812:$G812),"")</f>
        <v>14</v>
      </c>
      <c r="J812" s="120" t="n">
        <v>4.8</v>
      </c>
      <c r="K812" s="121" t="n">
        <f aca="false">+$H812*J812</f>
        <v>67.2</v>
      </c>
      <c r="L812" s="122" t="n">
        <v>24</v>
      </c>
      <c r="M812" s="122" t="n">
        <v>500</v>
      </c>
      <c r="N812" s="121" t="n">
        <f aca="false">+$H812*L812</f>
        <v>336</v>
      </c>
      <c r="O812" s="121" t="n">
        <f aca="false">+$H812*M812</f>
        <v>7000</v>
      </c>
      <c r="P812" s="121" t="n">
        <f aca="false">+SUM(N812:O812)</f>
        <v>7336</v>
      </c>
      <c r="R812" s="109"/>
      <c r="S812" s="109" t="n">
        <f aca="false">+R812*$H812</f>
        <v>0</v>
      </c>
      <c r="T812" s="109"/>
      <c r="U812" s="109" t="n">
        <f aca="false">+T812*$H812</f>
        <v>0</v>
      </c>
      <c r="V812" s="109" t="n">
        <f aca="false">+T812*$V$11</f>
        <v>0</v>
      </c>
      <c r="W812" s="109" t="n">
        <f aca="false">+V812*$H812</f>
        <v>0</v>
      </c>
      <c r="X812" s="109"/>
      <c r="Y812" s="109" t="n">
        <f aca="false">+X812*$H812</f>
        <v>0</v>
      </c>
      <c r="Z812" s="109"/>
      <c r="AA812" s="109" t="n">
        <f aca="false">+Z812*$H812</f>
        <v>0</v>
      </c>
      <c r="AB812" s="109"/>
      <c r="AC812" s="109" t="n">
        <f aca="false">+AB812*$H812</f>
        <v>0</v>
      </c>
      <c r="AD812" s="109" t="n">
        <f aca="false">+R812+V812+X812+Z812+AB812</f>
        <v>0</v>
      </c>
      <c r="AE812" s="109" t="n">
        <f aca="false">+AD812*$H812</f>
        <v>0</v>
      </c>
    </row>
    <row r="813" customFormat="false" ht="16.5" hidden="true" customHeight="true" outlineLevel="0" collapsed="false">
      <c r="A813" s="102"/>
      <c r="B813" s="117" t="s">
        <v>1277</v>
      </c>
      <c r="C813" s="111"/>
      <c r="D813" s="118" t="s">
        <v>1278</v>
      </c>
      <c r="E813" s="113" t="s">
        <v>85</v>
      </c>
      <c r="F813" s="119" t="n">
        <v>0</v>
      </c>
      <c r="G813" s="119" t="n">
        <v>0</v>
      </c>
      <c r="H813" s="115" t="n">
        <f aca="false">IFERROR(SUM($F813:$G813),"")</f>
        <v>0</v>
      </c>
      <c r="J813" s="116"/>
      <c r="K813" s="116"/>
      <c r="L813" s="116"/>
      <c r="M813" s="116"/>
      <c r="N813" s="116"/>
      <c r="O813" s="116"/>
      <c r="P813" s="116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</row>
    <row r="814" customFormat="false" ht="16.5" hidden="true" customHeight="true" outlineLevel="0" collapsed="false">
      <c r="A814" s="102"/>
      <c r="B814" s="117" t="s">
        <v>1279</v>
      </c>
      <c r="C814" s="111"/>
      <c r="D814" s="118" t="s">
        <v>1280</v>
      </c>
      <c r="E814" s="113" t="s">
        <v>85</v>
      </c>
      <c r="F814" s="119" t="n">
        <v>0</v>
      </c>
      <c r="G814" s="119" t="n">
        <v>0</v>
      </c>
      <c r="H814" s="115" t="n">
        <f aca="false">IFERROR(SUM($F814:$G814),"")</f>
        <v>0</v>
      </c>
      <c r="J814" s="116"/>
      <c r="K814" s="116"/>
      <c r="L814" s="116"/>
      <c r="M814" s="116"/>
      <c r="N814" s="116"/>
      <c r="O814" s="116"/>
      <c r="P814" s="116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</row>
    <row r="815" customFormat="false" ht="16.5" hidden="false" customHeight="true" outlineLevel="0" collapsed="false">
      <c r="A815" s="102"/>
      <c r="B815" s="117"/>
      <c r="C815" s="111"/>
      <c r="D815" s="118"/>
      <c r="E815" s="113"/>
      <c r="F815" s="119"/>
      <c r="G815" s="119"/>
      <c r="H815" s="115"/>
      <c r="J815" s="116"/>
      <c r="K815" s="116"/>
      <c r="L815" s="116"/>
      <c r="M815" s="116"/>
      <c r="N815" s="116"/>
      <c r="O815" s="116"/>
      <c r="P815" s="116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</row>
    <row r="816" customFormat="false" ht="17.25" hidden="false" customHeight="true" outlineLevel="0" collapsed="false">
      <c r="A816" s="102"/>
      <c r="B816" s="246"/>
      <c r="C816" s="247"/>
      <c r="D816" s="248"/>
      <c r="E816" s="249"/>
      <c r="F816" s="250"/>
      <c r="G816" s="251"/>
      <c r="H816" s="252"/>
      <c r="J816" s="116"/>
      <c r="K816" s="116"/>
      <c r="L816" s="116"/>
      <c r="M816" s="116"/>
      <c r="N816" s="116"/>
      <c r="O816" s="116"/>
      <c r="P816" s="116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</row>
    <row r="817" customFormat="false" ht="17.25" hidden="false" customHeight="true" outlineLevel="0" collapsed="false">
      <c r="A817" s="71"/>
      <c r="J817" s="253"/>
      <c r="K817" s="254" t="n">
        <f aca="false">+SUM(K13:K816)</f>
        <v>87710.58</v>
      </c>
      <c r="L817" s="254"/>
      <c r="M817" s="254"/>
      <c r="N817" s="254" t="n">
        <f aca="false">+SUM(N13:N816)</f>
        <v>438953.33</v>
      </c>
      <c r="O817" s="254" t="n">
        <f aca="false">+SUM(O13:O816)</f>
        <v>7980021.91</v>
      </c>
      <c r="P817" s="254" t="n">
        <f aca="false">+SUM(P13:P816)</f>
        <v>8418975.24</v>
      </c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</row>
    <row r="818" customFormat="false" ht="17.25" hidden="false" customHeight="true" outlineLevel="0" collapsed="false">
      <c r="A818" s="71"/>
    </row>
    <row r="819" customFormat="false" ht="16.5" hidden="false" customHeight="true" outlineLevel="0" collapsed="false">
      <c r="A819" s="71"/>
    </row>
    <row r="820" customFormat="false" ht="16.5" hidden="false" customHeight="true" outlineLevel="0" collapsed="false">
      <c r="A820" s="71"/>
    </row>
    <row r="821" customFormat="false" ht="16.5" hidden="false" customHeight="true" outlineLevel="0" collapsed="false">
      <c r="A821" s="71"/>
    </row>
    <row r="822" customFormat="false" ht="16.5" hidden="false" customHeight="true" outlineLevel="0" collapsed="false">
      <c r="A822" s="71"/>
    </row>
    <row r="824" customFormat="false" ht="16.5" hidden="false" customHeight="true" outlineLevel="0" collapsed="false">
      <c r="F824" s="60"/>
      <c r="G824" s="60"/>
      <c r="H824" s="60"/>
    </row>
  </sheetData>
  <autoFilter ref="A12:W817">
    <filterColumn colId="0" hiddenButton="1"/>
  </autoFilter>
  <mergeCells count="18">
    <mergeCell ref="J4:P7"/>
    <mergeCell ref="H10:H12"/>
    <mergeCell ref="J10:P10"/>
    <mergeCell ref="F11:F12"/>
    <mergeCell ref="G11:G12"/>
    <mergeCell ref="C12:D12"/>
    <mergeCell ref="B49:D49"/>
    <mergeCell ref="B51:D51"/>
    <mergeCell ref="B276:D276"/>
    <mergeCell ref="B278:D278"/>
    <mergeCell ref="B648:D648"/>
    <mergeCell ref="B650:D650"/>
    <mergeCell ref="B671:D671"/>
    <mergeCell ref="B673:D673"/>
    <mergeCell ref="B726:D726"/>
    <mergeCell ref="B728:D728"/>
    <mergeCell ref="B759:D759"/>
    <mergeCell ref="B761:D761"/>
  </mergeCells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&amp;L&amp;"Aptos,Regular"&amp;1  TechnipEnergies | General | Anyone - No Protection#_x005F_x000d_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2026-02-13T09:55:52Z</dcterms:created>
  <dc:creator>Liliana Rojas Fuquen</dc:creator>
  <dc:description/>
  <dc:language>en-US</dc:language>
  <cp:lastModifiedBy>İlk</cp:lastModifiedBy>
  <dcterms:modified xsi:type="dcterms:W3CDTF">2026-03-07T12:08:29Z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